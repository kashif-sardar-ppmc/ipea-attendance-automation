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MC\Desktop\"/>
    </mc:Choice>
  </mc:AlternateContent>
  <xr:revisionPtr revIDLastSave="0" documentId="13_ncr:1_{61030ABC-9882-4679-A5B4-B5A64421A56F}" xr6:coauthVersionLast="47" xr6:coauthVersionMax="47" xr10:uidLastSave="{00000000-0000-0000-0000-000000000000}"/>
  <bookViews>
    <workbookView xWindow="-120" yWindow="-120" windowWidth="20730" windowHeight="11040" firstSheet="16" activeTab="21" xr2:uid="{00000000-000D-0000-FFFF-FFFF00000000}"/>
  </bookViews>
  <sheets>
    <sheet name="Sheet 22" sheetId="24" r:id="rId1"/>
    <sheet name="Sheet 21" sheetId="3" r:id="rId2"/>
    <sheet name="Sheet 20" sheetId="4" r:id="rId3"/>
    <sheet name="Sheet 19" sheetId="5" r:id="rId4"/>
    <sheet name="Sheet 18" sheetId="6" r:id="rId5"/>
    <sheet name="Sheet 17" sheetId="7" r:id="rId6"/>
    <sheet name="Sheet 16" sheetId="8" r:id="rId7"/>
    <sheet name="Sheet 15" sheetId="9" r:id="rId8"/>
    <sheet name="Sheet 14" sheetId="10" r:id="rId9"/>
    <sheet name="Sheet 13" sheetId="11" r:id="rId10"/>
    <sheet name="Sheet 12" sheetId="12" r:id="rId11"/>
    <sheet name="Sheet 11" sheetId="13" r:id="rId12"/>
    <sheet name="Sheet 10" sheetId="14" r:id="rId13"/>
    <sheet name="Sheet 9" sheetId="15" r:id="rId14"/>
    <sheet name="Sheet 8" sheetId="16" r:id="rId15"/>
    <sheet name="Sheet 7" sheetId="17" r:id="rId16"/>
    <sheet name="Sheet 6" sheetId="18" r:id="rId17"/>
    <sheet name="Sheet 5" sheetId="19" r:id="rId18"/>
    <sheet name="Sheet 4" sheetId="20" r:id="rId19"/>
    <sheet name="Sheet 3" sheetId="21" r:id="rId20"/>
    <sheet name="Sheet 2" sheetId="22" r:id="rId21"/>
    <sheet name="Sheet 1" sheetId="23" r:id="rId22"/>
    <sheet name="Consolidated Summary" sheetId="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H23" i="24"/>
  <c r="F23" i="24"/>
  <c r="E23" i="24"/>
  <c r="G23" i="24" s="1"/>
  <c r="H22" i="24"/>
  <c r="F22" i="24"/>
  <c r="E22" i="24"/>
  <c r="G22" i="24" s="1"/>
  <c r="H21" i="24"/>
  <c r="F21" i="24"/>
  <c r="E21" i="24"/>
  <c r="G21" i="24" s="1"/>
  <c r="H20" i="24"/>
  <c r="F20" i="24"/>
  <c r="E20" i="24"/>
  <c r="G20" i="24" s="1"/>
  <c r="H19" i="24"/>
  <c r="F19" i="24"/>
  <c r="E19" i="24"/>
  <c r="G19" i="24" s="1"/>
  <c r="H18" i="24"/>
  <c r="F18" i="24"/>
  <c r="E18" i="24"/>
  <c r="G18" i="24" s="1"/>
  <c r="H17" i="24"/>
  <c r="F17" i="24"/>
  <c r="E17" i="24"/>
  <c r="G17" i="24" s="1"/>
  <c r="H16" i="24"/>
  <c r="F16" i="24"/>
  <c r="E16" i="24"/>
  <c r="G16" i="24" s="1"/>
  <c r="H15" i="24"/>
  <c r="F15" i="24"/>
  <c r="E15" i="24"/>
  <c r="G15" i="24" s="1"/>
  <c r="H14" i="24"/>
  <c r="F14" i="24"/>
  <c r="E14" i="24"/>
  <c r="G14" i="24" s="1"/>
  <c r="H13" i="24"/>
  <c r="F13" i="24"/>
  <c r="E13" i="24"/>
  <c r="G13" i="24" s="1"/>
  <c r="H12" i="24"/>
  <c r="F12" i="24"/>
  <c r="E12" i="24"/>
  <c r="G12" i="24" s="1"/>
  <c r="H11" i="24"/>
  <c r="F11" i="24"/>
  <c r="E11" i="24"/>
  <c r="G11" i="24" s="1"/>
  <c r="H10" i="24"/>
  <c r="F10" i="24"/>
  <c r="E10" i="24"/>
  <c r="G10" i="24" s="1"/>
  <c r="H9" i="24"/>
  <c r="F9" i="24"/>
  <c r="E9" i="24"/>
  <c r="G9" i="24" s="1"/>
  <c r="H8" i="24"/>
  <c r="F8" i="24"/>
  <c r="E8" i="24"/>
  <c r="G8" i="24" s="1"/>
  <c r="H7" i="24"/>
  <c r="F7" i="24"/>
  <c r="E7" i="24"/>
  <c r="G7" i="24" s="1"/>
  <c r="H6" i="24"/>
  <c r="F6" i="24"/>
  <c r="E6" i="24"/>
  <c r="G6" i="24" s="1"/>
  <c r="H5" i="24"/>
  <c r="F5" i="24"/>
  <c r="E5" i="24"/>
  <c r="G5" i="24" s="1"/>
  <c r="H4" i="24"/>
  <c r="F4" i="24"/>
  <c r="E4" i="24"/>
  <c r="G4" i="24" s="1"/>
  <c r="H3" i="24"/>
  <c r="F3" i="24"/>
  <c r="E3" i="24"/>
  <c r="G3" i="24" s="1"/>
  <c r="H2" i="24"/>
  <c r="F2" i="24"/>
  <c r="E2" i="24"/>
  <c r="G2" i="24" s="1"/>
  <c r="H15" i="23"/>
  <c r="H16" i="23"/>
  <c r="H17" i="23"/>
  <c r="H18" i="23"/>
  <c r="H19" i="23"/>
  <c r="H20" i="23"/>
  <c r="H21" i="23"/>
  <c r="H22" i="23"/>
  <c r="H23" i="23"/>
  <c r="H2" i="23"/>
  <c r="H3" i="23"/>
  <c r="H5" i="23"/>
  <c r="H6" i="23"/>
  <c r="H7" i="23"/>
  <c r="H8" i="23"/>
  <c r="H9" i="23"/>
  <c r="H10" i="23"/>
  <c r="H11" i="23"/>
  <c r="H12" i="23"/>
  <c r="H13" i="23"/>
  <c r="H14" i="23"/>
  <c r="H4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" i="23"/>
  <c r="E2" i="22"/>
  <c r="G2" i="22" s="1"/>
  <c r="D2" i="1"/>
  <c r="D4" i="1"/>
  <c r="C17" i="1" l="1"/>
  <c r="G23" i="23"/>
  <c r="F23" i="23"/>
  <c r="G22" i="23"/>
  <c r="F22" i="23"/>
  <c r="G21" i="23"/>
  <c r="F21" i="23"/>
  <c r="G20" i="23"/>
  <c r="F20" i="23"/>
  <c r="G19" i="23"/>
  <c r="F19" i="23"/>
  <c r="G18" i="23"/>
  <c r="F18" i="23"/>
  <c r="G17" i="23"/>
  <c r="F17" i="23"/>
  <c r="G16" i="23"/>
  <c r="F16" i="23"/>
  <c r="G15" i="23"/>
  <c r="F15" i="23"/>
  <c r="G14" i="23"/>
  <c r="F14" i="23"/>
  <c r="G13" i="23"/>
  <c r="F13" i="23"/>
  <c r="G12" i="23"/>
  <c r="F12" i="23"/>
  <c r="G11" i="23"/>
  <c r="F11" i="23"/>
  <c r="G10" i="23"/>
  <c r="F10" i="23"/>
  <c r="G9" i="23"/>
  <c r="F9" i="23"/>
  <c r="G8" i="23"/>
  <c r="F8" i="23"/>
  <c r="G7" i="23"/>
  <c r="F7" i="23"/>
  <c r="G6" i="23"/>
  <c r="F6" i="23"/>
  <c r="G5" i="23"/>
  <c r="F5" i="23"/>
  <c r="G4" i="23"/>
  <c r="F4" i="23"/>
  <c r="G3" i="23"/>
  <c r="F3" i="23"/>
  <c r="G2" i="23"/>
  <c r="F2" i="23"/>
  <c r="H23" i="22"/>
  <c r="F23" i="22"/>
  <c r="E23" i="22"/>
  <c r="G23" i="22" s="1"/>
  <c r="H22" i="22"/>
  <c r="F22" i="22"/>
  <c r="E22" i="22"/>
  <c r="G22" i="22" s="1"/>
  <c r="H21" i="22"/>
  <c r="F21" i="22"/>
  <c r="E21" i="22"/>
  <c r="G21" i="22" s="1"/>
  <c r="H20" i="22"/>
  <c r="F20" i="22"/>
  <c r="E20" i="22"/>
  <c r="G20" i="22" s="1"/>
  <c r="H19" i="22"/>
  <c r="F19" i="22"/>
  <c r="E19" i="22"/>
  <c r="G19" i="22" s="1"/>
  <c r="H18" i="22"/>
  <c r="F18" i="22"/>
  <c r="E18" i="22"/>
  <c r="G18" i="22" s="1"/>
  <c r="H17" i="22"/>
  <c r="F17" i="22"/>
  <c r="E17" i="22"/>
  <c r="G17" i="22" s="1"/>
  <c r="H16" i="22"/>
  <c r="F16" i="22"/>
  <c r="E16" i="22"/>
  <c r="G16" i="22" s="1"/>
  <c r="H15" i="22"/>
  <c r="F15" i="22"/>
  <c r="E15" i="22"/>
  <c r="G15" i="22" s="1"/>
  <c r="H14" i="22"/>
  <c r="F14" i="22"/>
  <c r="E14" i="22"/>
  <c r="G14" i="22" s="1"/>
  <c r="H13" i="22"/>
  <c r="F13" i="22"/>
  <c r="E13" i="22"/>
  <c r="G13" i="22" s="1"/>
  <c r="H12" i="22"/>
  <c r="F12" i="22"/>
  <c r="E12" i="22"/>
  <c r="G12" i="22" s="1"/>
  <c r="H11" i="22"/>
  <c r="F11" i="22"/>
  <c r="E11" i="22"/>
  <c r="G11" i="22" s="1"/>
  <c r="H10" i="22"/>
  <c r="F10" i="22"/>
  <c r="E10" i="22"/>
  <c r="G10" i="22" s="1"/>
  <c r="H9" i="22"/>
  <c r="F9" i="22"/>
  <c r="E9" i="22"/>
  <c r="G9" i="22" s="1"/>
  <c r="H8" i="22"/>
  <c r="F8" i="22"/>
  <c r="E8" i="22"/>
  <c r="G8" i="22" s="1"/>
  <c r="H7" i="22"/>
  <c r="F7" i="22"/>
  <c r="E7" i="22"/>
  <c r="G7" i="22" s="1"/>
  <c r="H6" i="22"/>
  <c r="F6" i="22"/>
  <c r="E6" i="22"/>
  <c r="G6" i="22" s="1"/>
  <c r="H5" i="22"/>
  <c r="F5" i="22"/>
  <c r="E5" i="22"/>
  <c r="G5" i="22" s="1"/>
  <c r="H4" i="22"/>
  <c r="F4" i="22"/>
  <c r="E4" i="22"/>
  <c r="G4" i="22" s="1"/>
  <c r="H3" i="22"/>
  <c r="F3" i="22"/>
  <c r="E3" i="22"/>
  <c r="G3" i="22" s="1"/>
  <c r="H2" i="22"/>
  <c r="F2" i="22"/>
  <c r="H23" i="21"/>
  <c r="F23" i="21"/>
  <c r="E23" i="21"/>
  <c r="G23" i="21" s="1"/>
  <c r="H22" i="21"/>
  <c r="F22" i="21"/>
  <c r="E22" i="21"/>
  <c r="G22" i="21" s="1"/>
  <c r="H21" i="21"/>
  <c r="F21" i="21"/>
  <c r="E21" i="21"/>
  <c r="G21" i="21" s="1"/>
  <c r="H20" i="21"/>
  <c r="F20" i="21"/>
  <c r="E20" i="21"/>
  <c r="G20" i="21" s="1"/>
  <c r="H19" i="21"/>
  <c r="F19" i="21"/>
  <c r="E19" i="21"/>
  <c r="G19" i="21" s="1"/>
  <c r="H18" i="21"/>
  <c r="F18" i="21"/>
  <c r="E18" i="21"/>
  <c r="G18" i="21" s="1"/>
  <c r="H17" i="21"/>
  <c r="F17" i="21"/>
  <c r="E17" i="21"/>
  <c r="G17" i="21" s="1"/>
  <c r="H16" i="21"/>
  <c r="F16" i="21"/>
  <c r="E16" i="21"/>
  <c r="G16" i="21" s="1"/>
  <c r="H15" i="21"/>
  <c r="F15" i="21"/>
  <c r="E15" i="21"/>
  <c r="G15" i="21" s="1"/>
  <c r="H14" i="21"/>
  <c r="F14" i="21"/>
  <c r="E14" i="21"/>
  <c r="G14" i="21" s="1"/>
  <c r="H13" i="21"/>
  <c r="F13" i="21"/>
  <c r="E13" i="21"/>
  <c r="G13" i="21" s="1"/>
  <c r="H12" i="21"/>
  <c r="F12" i="21"/>
  <c r="E12" i="21"/>
  <c r="G12" i="21" s="1"/>
  <c r="H11" i="21"/>
  <c r="F11" i="21"/>
  <c r="E11" i="21"/>
  <c r="G11" i="21" s="1"/>
  <c r="H10" i="21"/>
  <c r="F10" i="21"/>
  <c r="E10" i="21"/>
  <c r="G10" i="21" s="1"/>
  <c r="H9" i="21"/>
  <c r="F9" i="21"/>
  <c r="E9" i="21"/>
  <c r="G9" i="21" s="1"/>
  <c r="H8" i="21"/>
  <c r="F8" i="21"/>
  <c r="E8" i="21"/>
  <c r="G8" i="21" s="1"/>
  <c r="H7" i="21"/>
  <c r="F7" i="21"/>
  <c r="E7" i="21"/>
  <c r="G7" i="21" s="1"/>
  <c r="H6" i="21"/>
  <c r="F6" i="21"/>
  <c r="E6" i="21"/>
  <c r="G6" i="21" s="1"/>
  <c r="H5" i="21"/>
  <c r="F5" i="21"/>
  <c r="E5" i="21"/>
  <c r="G5" i="21" s="1"/>
  <c r="H4" i="21"/>
  <c r="F4" i="21"/>
  <c r="E4" i="21"/>
  <c r="G4" i="21" s="1"/>
  <c r="H3" i="21"/>
  <c r="F3" i="21"/>
  <c r="E3" i="21"/>
  <c r="G3" i="21" s="1"/>
  <c r="H2" i="21"/>
  <c r="F2" i="21"/>
  <c r="C21" i="1" s="1"/>
  <c r="E2" i="21"/>
  <c r="G2" i="21" s="1"/>
  <c r="H23" i="20"/>
  <c r="F23" i="20"/>
  <c r="E23" i="20"/>
  <c r="G23" i="20" s="1"/>
  <c r="H22" i="20"/>
  <c r="F22" i="20"/>
  <c r="E22" i="20"/>
  <c r="G22" i="20" s="1"/>
  <c r="H21" i="20"/>
  <c r="F21" i="20"/>
  <c r="E21" i="20"/>
  <c r="G21" i="20" s="1"/>
  <c r="H20" i="20"/>
  <c r="F20" i="20"/>
  <c r="E20" i="20"/>
  <c r="G20" i="20" s="1"/>
  <c r="H19" i="20"/>
  <c r="F19" i="20"/>
  <c r="E19" i="20"/>
  <c r="G19" i="20" s="1"/>
  <c r="H18" i="20"/>
  <c r="F18" i="20"/>
  <c r="E18" i="20"/>
  <c r="G18" i="20" s="1"/>
  <c r="H17" i="20"/>
  <c r="F17" i="20"/>
  <c r="E17" i="20"/>
  <c r="G17" i="20" s="1"/>
  <c r="H16" i="20"/>
  <c r="F16" i="20"/>
  <c r="E16" i="20"/>
  <c r="G16" i="20" s="1"/>
  <c r="H15" i="20"/>
  <c r="F15" i="20"/>
  <c r="E15" i="20"/>
  <c r="G15" i="20" s="1"/>
  <c r="H14" i="20"/>
  <c r="F14" i="20"/>
  <c r="E14" i="20"/>
  <c r="G14" i="20" s="1"/>
  <c r="H13" i="20"/>
  <c r="F13" i="20"/>
  <c r="E13" i="20"/>
  <c r="G13" i="20" s="1"/>
  <c r="H12" i="20"/>
  <c r="F12" i="20"/>
  <c r="E12" i="20"/>
  <c r="G12" i="20" s="1"/>
  <c r="H11" i="20"/>
  <c r="F11" i="20"/>
  <c r="E11" i="20"/>
  <c r="G11" i="20" s="1"/>
  <c r="H10" i="20"/>
  <c r="F10" i="20"/>
  <c r="E10" i="20"/>
  <c r="G10" i="20" s="1"/>
  <c r="H9" i="20"/>
  <c r="F9" i="20"/>
  <c r="E9" i="20"/>
  <c r="G9" i="20" s="1"/>
  <c r="H8" i="20"/>
  <c r="F8" i="20"/>
  <c r="E8" i="20"/>
  <c r="G8" i="20" s="1"/>
  <c r="H7" i="20"/>
  <c r="F7" i="20"/>
  <c r="E7" i="20"/>
  <c r="G7" i="20" s="1"/>
  <c r="H6" i="20"/>
  <c r="F6" i="20"/>
  <c r="E6" i="20"/>
  <c r="G6" i="20" s="1"/>
  <c r="H5" i="20"/>
  <c r="F5" i="20"/>
  <c r="E5" i="20"/>
  <c r="G5" i="20" s="1"/>
  <c r="H4" i="20"/>
  <c r="F4" i="20"/>
  <c r="E4" i="20"/>
  <c r="G4" i="20" s="1"/>
  <c r="H3" i="20"/>
  <c r="G3" i="20"/>
  <c r="F3" i="20"/>
  <c r="E3" i="20"/>
  <c r="H2" i="20"/>
  <c r="G2" i="20"/>
  <c r="F2" i="20"/>
  <c r="C20" i="1" s="1"/>
  <c r="E2" i="20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6" i="19"/>
  <c r="G16" i="19"/>
  <c r="F16" i="19"/>
  <c r="E16" i="19"/>
  <c r="H15" i="19"/>
  <c r="G15" i="19"/>
  <c r="F15" i="19"/>
  <c r="E15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H5" i="19"/>
  <c r="G5" i="19"/>
  <c r="F5" i="19"/>
  <c r="E5" i="19"/>
  <c r="H4" i="19"/>
  <c r="G4" i="19"/>
  <c r="F4" i="19"/>
  <c r="E4" i="19"/>
  <c r="H3" i="19"/>
  <c r="G3" i="19"/>
  <c r="F3" i="19"/>
  <c r="E3" i="19"/>
  <c r="H2" i="19"/>
  <c r="G2" i="19"/>
  <c r="F2" i="19"/>
  <c r="C19" i="1" s="1"/>
  <c r="E2" i="19"/>
  <c r="H23" i="18"/>
  <c r="F23" i="18"/>
  <c r="E23" i="18"/>
  <c r="G23" i="18" s="1"/>
  <c r="H22" i="18"/>
  <c r="F22" i="18"/>
  <c r="E22" i="18"/>
  <c r="G22" i="18" s="1"/>
  <c r="H21" i="18"/>
  <c r="F21" i="18"/>
  <c r="E21" i="18"/>
  <c r="G21" i="18" s="1"/>
  <c r="H20" i="18"/>
  <c r="F20" i="18"/>
  <c r="E20" i="18"/>
  <c r="G20" i="18" s="1"/>
  <c r="H19" i="18"/>
  <c r="F19" i="18"/>
  <c r="E19" i="18"/>
  <c r="G19" i="18" s="1"/>
  <c r="H18" i="18"/>
  <c r="F18" i="18"/>
  <c r="E18" i="18"/>
  <c r="G18" i="18" s="1"/>
  <c r="H17" i="18"/>
  <c r="F17" i="18"/>
  <c r="E17" i="18"/>
  <c r="G17" i="18" s="1"/>
  <c r="H16" i="18"/>
  <c r="F16" i="18"/>
  <c r="E16" i="18"/>
  <c r="G16" i="18" s="1"/>
  <c r="H15" i="18"/>
  <c r="F15" i="18"/>
  <c r="E15" i="18"/>
  <c r="G15" i="18" s="1"/>
  <c r="H14" i="18"/>
  <c r="F14" i="18"/>
  <c r="E14" i="18"/>
  <c r="G14" i="18" s="1"/>
  <c r="H13" i="18"/>
  <c r="F13" i="18"/>
  <c r="E13" i="18"/>
  <c r="G13" i="18" s="1"/>
  <c r="H12" i="18"/>
  <c r="F12" i="18"/>
  <c r="E12" i="18"/>
  <c r="G12" i="18" s="1"/>
  <c r="H11" i="18"/>
  <c r="F11" i="18"/>
  <c r="E11" i="18"/>
  <c r="G11" i="18" s="1"/>
  <c r="H10" i="18"/>
  <c r="F10" i="18"/>
  <c r="E10" i="18"/>
  <c r="G10" i="18" s="1"/>
  <c r="H9" i="18"/>
  <c r="F9" i="18"/>
  <c r="E9" i="18"/>
  <c r="G9" i="18" s="1"/>
  <c r="H8" i="18"/>
  <c r="F8" i="18"/>
  <c r="E8" i="18"/>
  <c r="G8" i="18" s="1"/>
  <c r="H7" i="18"/>
  <c r="F7" i="18"/>
  <c r="E7" i="18"/>
  <c r="G7" i="18" s="1"/>
  <c r="H6" i="18"/>
  <c r="F6" i="18"/>
  <c r="E6" i="18"/>
  <c r="G6" i="18" s="1"/>
  <c r="H5" i="18"/>
  <c r="F5" i="18"/>
  <c r="E5" i="18"/>
  <c r="G5" i="18" s="1"/>
  <c r="H4" i="18"/>
  <c r="F4" i="18"/>
  <c r="E4" i="18"/>
  <c r="G4" i="18" s="1"/>
  <c r="H3" i="18"/>
  <c r="F3" i="18"/>
  <c r="E3" i="18"/>
  <c r="G3" i="18" s="1"/>
  <c r="H2" i="18"/>
  <c r="E18" i="1" s="1"/>
  <c r="F2" i="18"/>
  <c r="C18" i="1" s="1"/>
  <c r="E2" i="18"/>
  <c r="G2" i="18" s="1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6" i="17"/>
  <c r="G16" i="17"/>
  <c r="F16" i="17"/>
  <c r="E16" i="17"/>
  <c r="H15" i="17"/>
  <c r="G15" i="17"/>
  <c r="F15" i="17"/>
  <c r="E15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H5" i="17"/>
  <c r="G5" i="17"/>
  <c r="F5" i="17"/>
  <c r="E5" i="17"/>
  <c r="H4" i="17"/>
  <c r="G4" i="17"/>
  <c r="F4" i="17"/>
  <c r="E4" i="17"/>
  <c r="H3" i="17"/>
  <c r="G3" i="17"/>
  <c r="F3" i="17"/>
  <c r="E3" i="17"/>
  <c r="H2" i="17"/>
  <c r="E17" i="1" s="1"/>
  <c r="G2" i="17"/>
  <c r="F2" i="17"/>
  <c r="E2" i="17"/>
  <c r="H23" i="16"/>
  <c r="F23" i="16"/>
  <c r="E23" i="16"/>
  <c r="G23" i="16" s="1"/>
  <c r="H22" i="16"/>
  <c r="F22" i="16"/>
  <c r="E22" i="16"/>
  <c r="G22" i="16" s="1"/>
  <c r="H21" i="16"/>
  <c r="F21" i="16"/>
  <c r="E21" i="16"/>
  <c r="G21" i="16" s="1"/>
  <c r="H20" i="16"/>
  <c r="F20" i="16"/>
  <c r="E20" i="16"/>
  <c r="G20" i="16" s="1"/>
  <c r="H19" i="16"/>
  <c r="F19" i="16"/>
  <c r="E19" i="16"/>
  <c r="G19" i="16" s="1"/>
  <c r="H18" i="16"/>
  <c r="F18" i="16"/>
  <c r="E18" i="16"/>
  <c r="G18" i="16" s="1"/>
  <c r="H17" i="16"/>
  <c r="F17" i="16"/>
  <c r="E17" i="16"/>
  <c r="G17" i="16" s="1"/>
  <c r="H16" i="16"/>
  <c r="F16" i="16"/>
  <c r="E16" i="16"/>
  <c r="G16" i="16" s="1"/>
  <c r="H15" i="16"/>
  <c r="F15" i="16"/>
  <c r="E15" i="16"/>
  <c r="G15" i="16" s="1"/>
  <c r="H14" i="16"/>
  <c r="F14" i="16"/>
  <c r="E14" i="16"/>
  <c r="G14" i="16" s="1"/>
  <c r="H13" i="16"/>
  <c r="F13" i="16"/>
  <c r="E13" i="16"/>
  <c r="G13" i="16" s="1"/>
  <c r="H12" i="16"/>
  <c r="F12" i="16"/>
  <c r="E12" i="16"/>
  <c r="G12" i="16" s="1"/>
  <c r="H11" i="16"/>
  <c r="F11" i="16"/>
  <c r="E11" i="16"/>
  <c r="G11" i="16" s="1"/>
  <c r="H10" i="16"/>
  <c r="F10" i="16"/>
  <c r="E10" i="16"/>
  <c r="G10" i="16" s="1"/>
  <c r="H9" i="16"/>
  <c r="F9" i="16"/>
  <c r="E9" i="16"/>
  <c r="G9" i="16" s="1"/>
  <c r="H8" i="16"/>
  <c r="F8" i="16"/>
  <c r="E8" i="16"/>
  <c r="G8" i="16" s="1"/>
  <c r="H7" i="16"/>
  <c r="F7" i="16"/>
  <c r="E7" i="16"/>
  <c r="G7" i="16" s="1"/>
  <c r="H6" i="16"/>
  <c r="F6" i="16"/>
  <c r="E6" i="16"/>
  <c r="G6" i="16" s="1"/>
  <c r="H5" i="16"/>
  <c r="F5" i="16"/>
  <c r="E5" i="16"/>
  <c r="G5" i="16" s="1"/>
  <c r="H4" i="16"/>
  <c r="F4" i="16"/>
  <c r="E4" i="16"/>
  <c r="G4" i="16" s="1"/>
  <c r="H3" i="16"/>
  <c r="F3" i="16"/>
  <c r="E3" i="16"/>
  <c r="G3" i="16" s="1"/>
  <c r="H2" i="16"/>
  <c r="E16" i="1" s="1"/>
  <c r="F2" i="16"/>
  <c r="C16" i="1" s="1"/>
  <c r="E2" i="16"/>
  <c r="G2" i="16" s="1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6" i="15"/>
  <c r="G16" i="15"/>
  <c r="F16" i="15"/>
  <c r="E16" i="15"/>
  <c r="H15" i="15"/>
  <c r="G15" i="15"/>
  <c r="F15" i="15"/>
  <c r="E15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H5" i="15"/>
  <c r="G5" i="15"/>
  <c r="F5" i="15"/>
  <c r="E5" i="15"/>
  <c r="H4" i="15"/>
  <c r="G4" i="15"/>
  <c r="F4" i="15"/>
  <c r="E4" i="15"/>
  <c r="H3" i="15"/>
  <c r="G3" i="15"/>
  <c r="F3" i="15"/>
  <c r="E3" i="15"/>
  <c r="H2" i="15"/>
  <c r="G2" i="15"/>
  <c r="F2" i="15"/>
  <c r="C15" i="1" s="1"/>
  <c r="E2" i="15"/>
  <c r="H23" i="14"/>
  <c r="F23" i="14"/>
  <c r="E23" i="14"/>
  <c r="G23" i="14" s="1"/>
  <c r="H22" i="14"/>
  <c r="F22" i="14"/>
  <c r="E22" i="14"/>
  <c r="G22" i="14" s="1"/>
  <c r="H21" i="14"/>
  <c r="F21" i="14"/>
  <c r="E21" i="14"/>
  <c r="G21" i="14" s="1"/>
  <c r="H20" i="14"/>
  <c r="F20" i="14"/>
  <c r="E20" i="14"/>
  <c r="G20" i="14" s="1"/>
  <c r="H19" i="14"/>
  <c r="F19" i="14"/>
  <c r="E19" i="14"/>
  <c r="G19" i="14" s="1"/>
  <c r="H18" i="14"/>
  <c r="F18" i="14"/>
  <c r="E18" i="14"/>
  <c r="G18" i="14" s="1"/>
  <c r="H17" i="14"/>
  <c r="F17" i="14"/>
  <c r="E17" i="14"/>
  <c r="G17" i="14" s="1"/>
  <c r="H16" i="14"/>
  <c r="F16" i="14"/>
  <c r="E16" i="14"/>
  <c r="G16" i="14" s="1"/>
  <c r="H15" i="14"/>
  <c r="F15" i="14"/>
  <c r="E15" i="14"/>
  <c r="G15" i="14" s="1"/>
  <c r="H14" i="14"/>
  <c r="F14" i="14"/>
  <c r="E14" i="14"/>
  <c r="G14" i="14" s="1"/>
  <c r="H13" i="14"/>
  <c r="F13" i="14"/>
  <c r="E13" i="14"/>
  <c r="G13" i="14" s="1"/>
  <c r="H12" i="14"/>
  <c r="F12" i="14"/>
  <c r="E12" i="14"/>
  <c r="G12" i="14" s="1"/>
  <c r="H11" i="14"/>
  <c r="F11" i="14"/>
  <c r="E11" i="14"/>
  <c r="G11" i="14" s="1"/>
  <c r="H10" i="14"/>
  <c r="F10" i="14"/>
  <c r="E10" i="14"/>
  <c r="G10" i="14" s="1"/>
  <c r="H9" i="14"/>
  <c r="F9" i="14"/>
  <c r="E9" i="14"/>
  <c r="G9" i="14" s="1"/>
  <c r="H8" i="14"/>
  <c r="F8" i="14"/>
  <c r="E8" i="14"/>
  <c r="G8" i="14" s="1"/>
  <c r="H7" i="14"/>
  <c r="F7" i="14"/>
  <c r="E7" i="14"/>
  <c r="G7" i="14" s="1"/>
  <c r="H6" i="14"/>
  <c r="F6" i="14"/>
  <c r="E6" i="14"/>
  <c r="G6" i="14" s="1"/>
  <c r="H5" i="14"/>
  <c r="F5" i="14"/>
  <c r="E5" i="14"/>
  <c r="G5" i="14" s="1"/>
  <c r="H4" i="14"/>
  <c r="F4" i="14"/>
  <c r="E4" i="14"/>
  <c r="G4" i="14" s="1"/>
  <c r="H3" i="14"/>
  <c r="F3" i="14"/>
  <c r="E3" i="14"/>
  <c r="G3" i="14" s="1"/>
  <c r="H2" i="14"/>
  <c r="E14" i="1" s="1"/>
  <c r="F2" i="14"/>
  <c r="C14" i="1" s="1"/>
  <c r="E2" i="14"/>
  <c r="G2" i="14" s="1"/>
  <c r="H23" i="13"/>
  <c r="F23" i="13"/>
  <c r="E23" i="13"/>
  <c r="G23" i="13" s="1"/>
  <c r="H22" i="13"/>
  <c r="F22" i="13"/>
  <c r="E22" i="13"/>
  <c r="G22" i="13" s="1"/>
  <c r="H21" i="13"/>
  <c r="F21" i="13"/>
  <c r="E21" i="13"/>
  <c r="G21" i="13" s="1"/>
  <c r="H20" i="13"/>
  <c r="F20" i="13"/>
  <c r="E20" i="13"/>
  <c r="G20" i="13" s="1"/>
  <c r="H19" i="13"/>
  <c r="F19" i="13"/>
  <c r="E19" i="13"/>
  <c r="G19" i="13" s="1"/>
  <c r="H18" i="13"/>
  <c r="F18" i="13"/>
  <c r="E18" i="13"/>
  <c r="G18" i="13" s="1"/>
  <c r="H17" i="13"/>
  <c r="F17" i="13"/>
  <c r="E17" i="13"/>
  <c r="G17" i="13" s="1"/>
  <c r="H16" i="13"/>
  <c r="F16" i="13"/>
  <c r="E16" i="13"/>
  <c r="G16" i="13" s="1"/>
  <c r="H15" i="13"/>
  <c r="F15" i="13"/>
  <c r="E15" i="13"/>
  <c r="G15" i="13" s="1"/>
  <c r="H14" i="13"/>
  <c r="F14" i="13"/>
  <c r="E14" i="13"/>
  <c r="G14" i="13" s="1"/>
  <c r="H13" i="13"/>
  <c r="F13" i="13"/>
  <c r="E13" i="13"/>
  <c r="G13" i="13" s="1"/>
  <c r="H12" i="13"/>
  <c r="F12" i="13"/>
  <c r="E12" i="13"/>
  <c r="G12" i="13" s="1"/>
  <c r="H11" i="13"/>
  <c r="F11" i="13"/>
  <c r="E11" i="13"/>
  <c r="G11" i="13" s="1"/>
  <c r="H10" i="13"/>
  <c r="F10" i="13"/>
  <c r="E10" i="13"/>
  <c r="G10" i="13" s="1"/>
  <c r="H9" i="13"/>
  <c r="F9" i="13"/>
  <c r="E9" i="13"/>
  <c r="G9" i="13" s="1"/>
  <c r="H8" i="13"/>
  <c r="F8" i="13"/>
  <c r="E8" i="13"/>
  <c r="G8" i="13" s="1"/>
  <c r="H7" i="13"/>
  <c r="F7" i="13"/>
  <c r="E7" i="13"/>
  <c r="G7" i="13" s="1"/>
  <c r="H6" i="13"/>
  <c r="F6" i="13"/>
  <c r="E6" i="13"/>
  <c r="G6" i="13" s="1"/>
  <c r="H5" i="13"/>
  <c r="F5" i="13"/>
  <c r="E5" i="13"/>
  <c r="G5" i="13" s="1"/>
  <c r="H4" i="13"/>
  <c r="F4" i="13"/>
  <c r="E4" i="13"/>
  <c r="G4" i="13" s="1"/>
  <c r="H3" i="13"/>
  <c r="F3" i="13"/>
  <c r="E3" i="13"/>
  <c r="G3" i="13" s="1"/>
  <c r="H2" i="13"/>
  <c r="E13" i="1" s="1"/>
  <c r="F2" i="13"/>
  <c r="C13" i="1" s="1"/>
  <c r="E2" i="13"/>
  <c r="G2" i="13" s="1"/>
  <c r="H23" i="12"/>
  <c r="F23" i="12"/>
  <c r="E23" i="12"/>
  <c r="G23" i="12" s="1"/>
  <c r="H22" i="12"/>
  <c r="F22" i="12"/>
  <c r="E22" i="12"/>
  <c r="G22" i="12" s="1"/>
  <c r="H21" i="12"/>
  <c r="F21" i="12"/>
  <c r="E21" i="12"/>
  <c r="G21" i="12" s="1"/>
  <c r="H20" i="12"/>
  <c r="F20" i="12"/>
  <c r="E20" i="12"/>
  <c r="G20" i="12" s="1"/>
  <c r="H19" i="12"/>
  <c r="F19" i="12"/>
  <c r="E19" i="12"/>
  <c r="G19" i="12" s="1"/>
  <c r="H18" i="12"/>
  <c r="F18" i="12"/>
  <c r="E18" i="12"/>
  <c r="G18" i="12" s="1"/>
  <c r="H17" i="12"/>
  <c r="F17" i="12"/>
  <c r="E17" i="12"/>
  <c r="G17" i="12" s="1"/>
  <c r="H16" i="12"/>
  <c r="F16" i="12"/>
  <c r="E16" i="12"/>
  <c r="G16" i="12" s="1"/>
  <c r="H15" i="12"/>
  <c r="F15" i="12"/>
  <c r="E15" i="12"/>
  <c r="G15" i="12" s="1"/>
  <c r="H14" i="12"/>
  <c r="F14" i="12"/>
  <c r="E14" i="12"/>
  <c r="G14" i="12" s="1"/>
  <c r="H13" i="12"/>
  <c r="F13" i="12"/>
  <c r="E13" i="12"/>
  <c r="G13" i="12" s="1"/>
  <c r="H12" i="12"/>
  <c r="F12" i="12"/>
  <c r="E12" i="12"/>
  <c r="G12" i="12" s="1"/>
  <c r="H11" i="12"/>
  <c r="F11" i="12"/>
  <c r="E11" i="12"/>
  <c r="G11" i="12" s="1"/>
  <c r="H10" i="12"/>
  <c r="F10" i="12"/>
  <c r="E10" i="12"/>
  <c r="G10" i="12" s="1"/>
  <c r="H9" i="12"/>
  <c r="F9" i="12"/>
  <c r="E9" i="12"/>
  <c r="G9" i="12" s="1"/>
  <c r="H8" i="12"/>
  <c r="F8" i="12"/>
  <c r="E8" i="12"/>
  <c r="G8" i="12" s="1"/>
  <c r="H7" i="12"/>
  <c r="F7" i="12"/>
  <c r="E7" i="12"/>
  <c r="G7" i="12" s="1"/>
  <c r="H6" i="12"/>
  <c r="F6" i="12"/>
  <c r="E6" i="12"/>
  <c r="G6" i="12" s="1"/>
  <c r="H5" i="12"/>
  <c r="F5" i="12"/>
  <c r="E5" i="12"/>
  <c r="G5" i="12" s="1"/>
  <c r="H4" i="12"/>
  <c r="F4" i="12"/>
  <c r="E4" i="12"/>
  <c r="G4" i="12" s="1"/>
  <c r="H3" i="12"/>
  <c r="F3" i="12"/>
  <c r="E3" i="12"/>
  <c r="G3" i="12" s="1"/>
  <c r="H2" i="12"/>
  <c r="E12" i="1" s="1"/>
  <c r="F2" i="12"/>
  <c r="C12" i="1" s="1"/>
  <c r="E2" i="12"/>
  <c r="G2" i="12" s="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6" i="11"/>
  <c r="G16" i="11"/>
  <c r="F16" i="11"/>
  <c r="E16" i="11"/>
  <c r="H15" i="11"/>
  <c r="G15" i="11"/>
  <c r="F15" i="11"/>
  <c r="E15" i="11"/>
  <c r="H14" i="11"/>
  <c r="G14" i="11"/>
  <c r="F14" i="11"/>
  <c r="E14" i="11"/>
  <c r="H13" i="11"/>
  <c r="F13" i="11"/>
  <c r="E13" i="11"/>
  <c r="G13" i="11" s="1"/>
  <c r="H12" i="11"/>
  <c r="F12" i="11"/>
  <c r="E12" i="11"/>
  <c r="G12" i="11" s="1"/>
  <c r="H11" i="11"/>
  <c r="F11" i="11"/>
  <c r="E11" i="11"/>
  <c r="G11" i="11" s="1"/>
  <c r="H10" i="11"/>
  <c r="F10" i="11"/>
  <c r="E10" i="11"/>
  <c r="G10" i="11" s="1"/>
  <c r="H9" i="11"/>
  <c r="F9" i="11"/>
  <c r="E9" i="11"/>
  <c r="G9" i="11" s="1"/>
  <c r="H8" i="11"/>
  <c r="F8" i="11"/>
  <c r="E8" i="11"/>
  <c r="G8" i="11" s="1"/>
  <c r="H7" i="11"/>
  <c r="F7" i="11"/>
  <c r="E7" i="11"/>
  <c r="G7" i="11" s="1"/>
  <c r="H6" i="11"/>
  <c r="F6" i="11"/>
  <c r="E6" i="11"/>
  <c r="G6" i="11" s="1"/>
  <c r="H5" i="11"/>
  <c r="F5" i="11"/>
  <c r="E5" i="11"/>
  <c r="G5" i="11" s="1"/>
  <c r="H4" i="11"/>
  <c r="F4" i="11"/>
  <c r="E4" i="11"/>
  <c r="G4" i="11" s="1"/>
  <c r="H3" i="11"/>
  <c r="F3" i="11"/>
  <c r="E3" i="11"/>
  <c r="G3" i="11" s="1"/>
  <c r="H2" i="11"/>
  <c r="F2" i="11"/>
  <c r="C11" i="1" s="1"/>
  <c r="E2" i="11"/>
  <c r="G2" i="11" s="1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6" i="10"/>
  <c r="G16" i="10"/>
  <c r="F16" i="10"/>
  <c r="E16" i="10"/>
  <c r="H15" i="10"/>
  <c r="G15" i="10"/>
  <c r="F15" i="10"/>
  <c r="E15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H5" i="10"/>
  <c r="G5" i="10"/>
  <c r="F5" i="10"/>
  <c r="E5" i="10"/>
  <c r="H4" i="10"/>
  <c r="G4" i="10"/>
  <c r="F4" i="10"/>
  <c r="E4" i="10"/>
  <c r="H3" i="10"/>
  <c r="G3" i="10"/>
  <c r="F3" i="10"/>
  <c r="E3" i="10"/>
  <c r="H2" i="10"/>
  <c r="G2" i="10"/>
  <c r="F2" i="10"/>
  <c r="C10" i="1" s="1"/>
  <c r="E2" i="10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6" i="9"/>
  <c r="G16" i="9"/>
  <c r="F16" i="9"/>
  <c r="E16" i="9"/>
  <c r="H15" i="9"/>
  <c r="G15" i="9"/>
  <c r="F15" i="9"/>
  <c r="E15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H5" i="9"/>
  <c r="G5" i="9"/>
  <c r="F5" i="9"/>
  <c r="E5" i="9"/>
  <c r="H4" i="9"/>
  <c r="G4" i="9"/>
  <c r="F4" i="9"/>
  <c r="E4" i="9"/>
  <c r="H3" i="9"/>
  <c r="G3" i="9"/>
  <c r="F3" i="9"/>
  <c r="E3" i="9"/>
  <c r="H2" i="9"/>
  <c r="E9" i="1" s="1"/>
  <c r="G2" i="9"/>
  <c r="F2" i="9"/>
  <c r="E2" i="9"/>
  <c r="H23" i="8"/>
  <c r="F23" i="8"/>
  <c r="E23" i="8"/>
  <c r="G23" i="8" s="1"/>
  <c r="H22" i="8"/>
  <c r="F22" i="8"/>
  <c r="E22" i="8"/>
  <c r="G22" i="8" s="1"/>
  <c r="H21" i="8"/>
  <c r="F21" i="8"/>
  <c r="E21" i="8"/>
  <c r="G21" i="8" s="1"/>
  <c r="H20" i="8"/>
  <c r="F20" i="8"/>
  <c r="E20" i="8"/>
  <c r="G20" i="8" s="1"/>
  <c r="H19" i="8"/>
  <c r="F19" i="8"/>
  <c r="E19" i="8"/>
  <c r="G19" i="8" s="1"/>
  <c r="H18" i="8"/>
  <c r="F18" i="8"/>
  <c r="E18" i="8"/>
  <c r="G18" i="8" s="1"/>
  <c r="H17" i="8"/>
  <c r="F17" i="8"/>
  <c r="E17" i="8"/>
  <c r="G17" i="8" s="1"/>
  <c r="H16" i="8"/>
  <c r="F16" i="8"/>
  <c r="E16" i="8"/>
  <c r="G16" i="8" s="1"/>
  <c r="H15" i="8"/>
  <c r="F15" i="8"/>
  <c r="E15" i="8"/>
  <c r="G15" i="8" s="1"/>
  <c r="H14" i="8"/>
  <c r="F14" i="8"/>
  <c r="E14" i="8"/>
  <c r="G14" i="8" s="1"/>
  <c r="H13" i="8"/>
  <c r="F13" i="8"/>
  <c r="E13" i="8"/>
  <c r="G13" i="8" s="1"/>
  <c r="H12" i="8"/>
  <c r="F12" i="8"/>
  <c r="E12" i="8"/>
  <c r="G12" i="8" s="1"/>
  <c r="H11" i="8"/>
  <c r="F11" i="8"/>
  <c r="E11" i="8"/>
  <c r="G11" i="8" s="1"/>
  <c r="H10" i="8"/>
  <c r="F10" i="8"/>
  <c r="E10" i="8"/>
  <c r="G10" i="8" s="1"/>
  <c r="H9" i="8"/>
  <c r="F9" i="8"/>
  <c r="E9" i="8"/>
  <c r="G9" i="8" s="1"/>
  <c r="H8" i="8"/>
  <c r="F8" i="8"/>
  <c r="E8" i="8"/>
  <c r="G8" i="8" s="1"/>
  <c r="H7" i="8"/>
  <c r="F7" i="8"/>
  <c r="E7" i="8"/>
  <c r="G7" i="8" s="1"/>
  <c r="H6" i="8"/>
  <c r="F6" i="8"/>
  <c r="E6" i="8"/>
  <c r="G6" i="8" s="1"/>
  <c r="H5" i="8"/>
  <c r="F5" i="8"/>
  <c r="E5" i="8"/>
  <c r="G5" i="8" s="1"/>
  <c r="H4" i="8"/>
  <c r="F4" i="8"/>
  <c r="E4" i="8"/>
  <c r="G4" i="8" s="1"/>
  <c r="H3" i="8"/>
  <c r="F3" i="8"/>
  <c r="E3" i="8"/>
  <c r="G3" i="8" s="1"/>
  <c r="H2" i="8"/>
  <c r="E8" i="1" s="1"/>
  <c r="F2" i="8"/>
  <c r="C8" i="1" s="1"/>
  <c r="E2" i="8"/>
  <c r="G2" i="8" s="1"/>
  <c r="H23" i="7"/>
  <c r="G23" i="7"/>
  <c r="F23" i="7"/>
  <c r="E23" i="7"/>
  <c r="H22" i="7"/>
  <c r="G22" i="7"/>
  <c r="F22" i="7"/>
  <c r="E22" i="7"/>
  <c r="H21" i="7"/>
  <c r="F21" i="7"/>
  <c r="E21" i="7"/>
  <c r="G21" i="7" s="1"/>
  <c r="H20" i="7"/>
  <c r="F20" i="7"/>
  <c r="E20" i="7"/>
  <c r="G20" i="7" s="1"/>
  <c r="H19" i="7"/>
  <c r="F19" i="7"/>
  <c r="E19" i="7"/>
  <c r="G19" i="7" s="1"/>
  <c r="H18" i="7"/>
  <c r="F18" i="7"/>
  <c r="E18" i="7"/>
  <c r="G18" i="7" s="1"/>
  <c r="H17" i="7"/>
  <c r="F17" i="7"/>
  <c r="E17" i="7"/>
  <c r="G17" i="7" s="1"/>
  <c r="H16" i="7"/>
  <c r="F16" i="7"/>
  <c r="E16" i="7"/>
  <c r="G16" i="7" s="1"/>
  <c r="H15" i="7"/>
  <c r="F15" i="7"/>
  <c r="E15" i="7"/>
  <c r="G15" i="7" s="1"/>
  <c r="H14" i="7"/>
  <c r="F14" i="7"/>
  <c r="E14" i="7"/>
  <c r="G14" i="7" s="1"/>
  <c r="H13" i="7"/>
  <c r="F13" i="7"/>
  <c r="E13" i="7"/>
  <c r="G13" i="7" s="1"/>
  <c r="H12" i="7"/>
  <c r="F12" i="7"/>
  <c r="E12" i="7"/>
  <c r="G12" i="7" s="1"/>
  <c r="H11" i="7"/>
  <c r="F11" i="7"/>
  <c r="E11" i="7"/>
  <c r="G11" i="7" s="1"/>
  <c r="H10" i="7"/>
  <c r="F10" i="7"/>
  <c r="E10" i="7"/>
  <c r="G10" i="7" s="1"/>
  <c r="H9" i="7"/>
  <c r="F9" i="7"/>
  <c r="E9" i="7"/>
  <c r="G9" i="7" s="1"/>
  <c r="H8" i="7"/>
  <c r="F8" i="7"/>
  <c r="E8" i="7"/>
  <c r="G8" i="7" s="1"/>
  <c r="H7" i="7"/>
  <c r="F7" i="7"/>
  <c r="E7" i="7"/>
  <c r="G7" i="7" s="1"/>
  <c r="H6" i="7"/>
  <c r="F6" i="7"/>
  <c r="E6" i="7"/>
  <c r="G6" i="7" s="1"/>
  <c r="H5" i="7"/>
  <c r="F5" i="7"/>
  <c r="E5" i="7"/>
  <c r="G5" i="7" s="1"/>
  <c r="H4" i="7"/>
  <c r="F4" i="7"/>
  <c r="E4" i="7"/>
  <c r="G4" i="7" s="1"/>
  <c r="H3" i="7"/>
  <c r="F3" i="7"/>
  <c r="E3" i="7"/>
  <c r="G3" i="7" s="1"/>
  <c r="H2" i="7"/>
  <c r="E7" i="1" s="1"/>
  <c r="F2" i="7"/>
  <c r="C7" i="1" s="1"/>
  <c r="E2" i="7"/>
  <c r="G2" i="7" s="1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6" i="6"/>
  <c r="G16" i="6"/>
  <c r="F16" i="6"/>
  <c r="E16" i="6"/>
  <c r="H15" i="6"/>
  <c r="G15" i="6"/>
  <c r="F15" i="6"/>
  <c r="E15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H5" i="6"/>
  <c r="G5" i="6"/>
  <c r="F5" i="6"/>
  <c r="E5" i="6"/>
  <c r="H4" i="6"/>
  <c r="G4" i="6"/>
  <c r="F4" i="6"/>
  <c r="E4" i="6"/>
  <c r="H3" i="6"/>
  <c r="G3" i="6"/>
  <c r="F3" i="6"/>
  <c r="E3" i="6"/>
  <c r="H2" i="6"/>
  <c r="G2" i="6"/>
  <c r="F2" i="6"/>
  <c r="C6" i="1" s="1"/>
  <c r="E2" i="6"/>
  <c r="H23" i="5"/>
  <c r="F23" i="5"/>
  <c r="E23" i="5"/>
  <c r="G23" i="5" s="1"/>
  <c r="H22" i="5"/>
  <c r="F22" i="5"/>
  <c r="E22" i="5"/>
  <c r="G22" i="5" s="1"/>
  <c r="H21" i="5"/>
  <c r="F21" i="5"/>
  <c r="E21" i="5"/>
  <c r="G21" i="5" s="1"/>
  <c r="H20" i="5"/>
  <c r="F20" i="5"/>
  <c r="E20" i="5"/>
  <c r="G20" i="5" s="1"/>
  <c r="H19" i="5"/>
  <c r="F19" i="5"/>
  <c r="E19" i="5"/>
  <c r="G19" i="5" s="1"/>
  <c r="H18" i="5"/>
  <c r="F18" i="5"/>
  <c r="E18" i="5"/>
  <c r="G18" i="5" s="1"/>
  <c r="H17" i="5"/>
  <c r="F17" i="5"/>
  <c r="E17" i="5"/>
  <c r="G17" i="5" s="1"/>
  <c r="H16" i="5"/>
  <c r="F16" i="5"/>
  <c r="E16" i="5"/>
  <c r="G16" i="5" s="1"/>
  <c r="H15" i="5"/>
  <c r="F15" i="5"/>
  <c r="E15" i="5"/>
  <c r="G15" i="5" s="1"/>
  <c r="H14" i="5"/>
  <c r="F14" i="5"/>
  <c r="E14" i="5"/>
  <c r="G14" i="5" s="1"/>
  <c r="H13" i="5"/>
  <c r="F13" i="5"/>
  <c r="E13" i="5"/>
  <c r="G13" i="5" s="1"/>
  <c r="H12" i="5"/>
  <c r="F12" i="5"/>
  <c r="E12" i="5"/>
  <c r="G12" i="5" s="1"/>
  <c r="H11" i="5"/>
  <c r="F11" i="5"/>
  <c r="E11" i="5"/>
  <c r="G11" i="5" s="1"/>
  <c r="H10" i="5"/>
  <c r="F10" i="5"/>
  <c r="E10" i="5"/>
  <c r="G10" i="5" s="1"/>
  <c r="H9" i="5"/>
  <c r="F9" i="5"/>
  <c r="E9" i="5"/>
  <c r="G9" i="5" s="1"/>
  <c r="H8" i="5"/>
  <c r="F8" i="5"/>
  <c r="E8" i="5"/>
  <c r="G8" i="5" s="1"/>
  <c r="H7" i="5"/>
  <c r="F7" i="5"/>
  <c r="E7" i="5"/>
  <c r="G7" i="5" s="1"/>
  <c r="H6" i="5"/>
  <c r="F6" i="5"/>
  <c r="E6" i="5"/>
  <c r="G6" i="5" s="1"/>
  <c r="H5" i="5"/>
  <c r="F5" i="5"/>
  <c r="E5" i="5"/>
  <c r="G5" i="5" s="1"/>
  <c r="H4" i="5"/>
  <c r="F4" i="5"/>
  <c r="E4" i="5"/>
  <c r="G4" i="5" s="1"/>
  <c r="H3" i="5"/>
  <c r="F3" i="5"/>
  <c r="E3" i="5"/>
  <c r="G3" i="5" s="1"/>
  <c r="H2" i="5"/>
  <c r="E5" i="1" s="1"/>
  <c r="F2" i="5"/>
  <c r="E2" i="5"/>
  <c r="G2" i="5" s="1"/>
  <c r="H23" i="4"/>
  <c r="F23" i="4"/>
  <c r="E23" i="4"/>
  <c r="G23" i="4" s="1"/>
  <c r="H22" i="4"/>
  <c r="F22" i="4"/>
  <c r="E22" i="4"/>
  <c r="G22" i="4" s="1"/>
  <c r="H21" i="4"/>
  <c r="F21" i="4"/>
  <c r="E21" i="4"/>
  <c r="G21" i="4" s="1"/>
  <c r="H20" i="4"/>
  <c r="F20" i="4"/>
  <c r="E20" i="4"/>
  <c r="G20" i="4" s="1"/>
  <c r="H19" i="4"/>
  <c r="F19" i="4"/>
  <c r="E19" i="4"/>
  <c r="G19" i="4" s="1"/>
  <c r="H18" i="4"/>
  <c r="F18" i="4"/>
  <c r="E18" i="4"/>
  <c r="G18" i="4" s="1"/>
  <c r="H17" i="4"/>
  <c r="F17" i="4"/>
  <c r="E17" i="4"/>
  <c r="G17" i="4" s="1"/>
  <c r="H16" i="4"/>
  <c r="F16" i="4"/>
  <c r="E16" i="4"/>
  <c r="G16" i="4" s="1"/>
  <c r="H15" i="4"/>
  <c r="F15" i="4"/>
  <c r="E15" i="4"/>
  <c r="G15" i="4" s="1"/>
  <c r="H14" i="4"/>
  <c r="F14" i="4"/>
  <c r="E14" i="4"/>
  <c r="G14" i="4" s="1"/>
  <c r="H13" i="4"/>
  <c r="F13" i="4"/>
  <c r="E13" i="4"/>
  <c r="G13" i="4" s="1"/>
  <c r="H12" i="4"/>
  <c r="F12" i="4"/>
  <c r="E12" i="4"/>
  <c r="G12" i="4" s="1"/>
  <c r="H11" i="4"/>
  <c r="F11" i="4"/>
  <c r="E11" i="4"/>
  <c r="G11" i="4" s="1"/>
  <c r="H10" i="4"/>
  <c r="F10" i="4"/>
  <c r="E10" i="4"/>
  <c r="G10" i="4" s="1"/>
  <c r="H9" i="4"/>
  <c r="F9" i="4"/>
  <c r="E9" i="4"/>
  <c r="G9" i="4" s="1"/>
  <c r="H8" i="4"/>
  <c r="F8" i="4"/>
  <c r="E8" i="4"/>
  <c r="G8" i="4" s="1"/>
  <c r="H7" i="4"/>
  <c r="F7" i="4"/>
  <c r="E7" i="4"/>
  <c r="G7" i="4" s="1"/>
  <c r="H6" i="4"/>
  <c r="F6" i="4"/>
  <c r="E6" i="4"/>
  <c r="G6" i="4" s="1"/>
  <c r="H5" i="4"/>
  <c r="F5" i="4"/>
  <c r="E5" i="4"/>
  <c r="G5" i="4" s="1"/>
  <c r="H4" i="4"/>
  <c r="F4" i="4"/>
  <c r="E4" i="4"/>
  <c r="G4" i="4" s="1"/>
  <c r="H3" i="4"/>
  <c r="F3" i="4"/>
  <c r="E3" i="4"/>
  <c r="G3" i="4" s="1"/>
  <c r="H2" i="4"/>
  <c r="E4" i="1" s="1"/>
  <c r="F2" i="4"/>
  <c r="C4" i="1" s="1"/>
  <c r="E2" i="4"/>
  <c r="G2" i="4" s="1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F3" i="3"/>
  <c r="E3" i="3"/>
  <c r="H2" i="3"/>
  <c r="E3" i="1" s="1"/>
  <c r="G2" i="3"/>
  <c r="F2" i="3"/>
  <c r="C3" i="1" s="1"/>
  <c r="E2" i="3"/>
  <c r="E2" i="1"/>
  <c r="C2" i="1"/>
  <c r="E21" i="1"/>
  <c r="E20" i="1"/>
  <c r="E19" i="1"/>
  <c r="E15" i="1"/>
  <c r="E11" i="1"/>
  <c r="E10" i="1"/>
  <c r="E6" i="1"/>
  <c r="D3" i="1"/>
  <c r="D8" i="1"/>
  <c r="D13" i="1"/>
  <c r="D14" i="1"/>
  <c r="D20" i="1"/>
  <c r="D9" i="1"/>
  <c r="D12" i="1"/>
  <c r="D15" i="1"/>
  <c r="D21" i="1"/>
  <c r="D19" i="1"/>
  <c r="D11" i="1"/>
  <c r="D17" i="1"/>
  <c r="D22" i="1"/>
  <c r="D7" i="1"/>
  <c r="D16" i="1"/>
  <c r="D10" i="1"/>
  <c r="D18" i="1"/>
  <c r="D23" i="1"/>
  <c r="D5" i="1"/>
  <c r="D6" i="1"/>
  <c r="C5" i="1" l="1"/>
  <c r="C9" i="1"/>
  <c r="C23" i="1"/>
  <c r="B23" i="1"/>
  <c r="E23" i="1"/>
  <c r="B22" i="1"/>
  <c r="C22" i="1"/>
  <c r="B3" i="1"/>
  <c r="B5" i="1"/>
  <c r="B7" i="1"/>
  <c r="B8" i="1"/>
  <c r="B10" i="1"/>
  <c r="B12" i="1"/>
  <c r="B14" i="1"/>
  <c r="B16" i="1"/>
  <c r="B18" i="1"/>
  <c r="B21" i="1"/>
  <c r="B2" i="1"/>
  <c r="B4" i="1"/>
  <c r="B6" i="1"/>
  <c r="B9" i="1"/>
  <c r="B11" i="1"/>
  <c r="B13" i="1"/>
  <c r="B15" i="1"/>
  <c r="B17" i="1"/>
  <c r="B19" i="1"/>
  <c r="B20" i="1"/>
  <c r="B24" i="1" l="1"/>
</calcChain>
</file>

<file path=xl/sharedStrings.xml><?xml version="1.0" encoding="utf-8"?>
<sst xmlns="http://schemas.openxmlformats.org/spreadsheetml/2006/main" count="2184" uniqueCount="295">
  <si>
    <t>Employee Name</t>
  </si>
  <si>
    <t>Average Late Minutes</t>
  </si>
  <si>
    <t>Average Minutes Less Than 8 Hours</t>
  </si>
  <si>
    <t>Attendance %</t>
  </si>
  <si>
    <t>Name</t>
  </si>
  <si>
    <t>Date</t>
  </si>
  <si>
    <t>Time In</t>
  </si>
  <si>
    <t>Time Out</t>
  </si>
  <si>
    <t>Worked Minutes</t>
  </si>
  <si>
    <t>Late Minutes</t>
  </si>
  <si>
    <t>Less Than 8 Hours</t>
  </si>
  <si>
    <t>Status</t>
  </si>
  <si>
    <t>Target time</t>
  </si>
  <si>
    <t>Comments</t>
  </si>
  <si>
    <t>2026-01-01</t>
  </si>
  <si>
    <t>9:03 AM</t>
  </si>
  <si>
    <t>5:21 PM</t>
  </si>
  <si>
    <t>2026-01-02</t>
  </si>
  <si>
    <t>9:08 AM</t>
  </si>
  <si>
    <t>5:23 PM</t>
  </si>
  <si>
    <t>2026-01-05</t>
  </si>
  <si>
    <t>9:14 AM</t>
  </si>
  <si>
    <t>2026-01-06</t>
  </si>
  <si>
    <t>9:13 AM</t>
  </si>
  <si>
    <t>5:19 PM</t>
  </si>
  <si>
    <t>2026-01-07</t>
  </si>
  <si>
    <t>9:23 AM</t>
  </si>
  <si>
    <t>-</t>
  </si>
  <si>
    <t>2026-01-08</t>
  </si>
  <si>
    <t>9:04 AM</t>
  </si>
  <si>
    <t>5:12 PM</t>
  </si>
  <si>
    <t>2026-01-09</t>
  </si>
  <si>
    <t>9:18 AM</t>
  </si>
  <si>
    <t>5:34 PM</t>
  </si>
  <si>
    <t>2026-01-12</t>
  </si>
  <si>
    <t>9:11 AM</t>
  </si>
  <si>
    <t>2026-01-13</t>
  </si>
  <si>
    <t>9:05 AM</t>
  </si>
  <si>
    <t>2026-01-14</t>
  </si>
  <si>
    <t>5:29 PM</t>
  </si>
  <si>
    <t>2026-01-15</t>
  </si>
  <si>
    <t>9:15 AM</t>
  </si>
  <si>
    <t>5:40 PM</t>
  </si>
  <si>
    <t>2026-01-16</t>
  </si>
  <si>
    <t>5:47 PM</t>
  </si>
  <si>
    <t>2026-01-19</t>
  </si>
  <si>
    <t>Absent</t>
  </si>
  <si>
    <t>2026-01-20</t>
  </si>
  <si>
    <t>5:17 PM</t>
  </si>
  <si>
    <t>2026-01-21</t>
  </si>
  <si>
    <t>2026-01-22</t>
  </si>
  <si>
    <t>9:19 AM</t>
  </si>
  <si>
    <t>2026-01-23</t>
  </si>
  <si>
    <t>9:37 AM</t>
  </si>
  <si>
    <t>2026-01-26</t>
  </si>
  <si>
    <t>9:24 AM</t>
  </si>
  <si>
    <t>6:01 PM</t>
  </si>
  <si>
    <t>2026-01-27</t>
  </si>
  <si>
    <t>9:29 AM</t>
  </si>
  <si>
    <t>6:50 PM</t>
  </si>
  <si>
    <t>2026-01-28</t>
  </si>
  <si>
    <t>9:25 AM</t>
  </si>
  <si>
    <t>6:40 PM</t>
  </si>
  <si>
    <t>2026-01-29</t>
  </si>
  <si>
    <t>9:21 AM</t>
  </si>
  <si>
    <t>6:11 PM</t>
  </si>
  <si>
    <t>2026-01-30</t>
  </si>
  <si>
    <t>9:27 AM</t>
  </si>
  <si>
    <t>5:33 PM</t>
  </si>
  <si>
    <t>9:01 AM</t>
  </si>
  <si>
    <t>4:35 PM</t>
  </si>
  <si>
    <t>8:49 AM</t>
  </si>
  <si>
    <t>4:57 PM</t>
  </si>
  <si>
    <t>8:46 AM</t>
  </si>
  <si>
    <t>8:45 AM</t>
  </si>
  <si>
    <t>4:59 PM</t>
  </si>
  <si>
    <t>4:45 PM</t>
  </si>
  <si>
    <t>4:47 PM</t>
  </si>
  <si>
    <t>8:48 AM</t>
  </si>
  <si>
    <t>4:52 PM</t>
  </si>
  <si>
    <t>4:50 PM</t>
  </si>
  <si>
    <t>4:38 PM</t>
  </si>
  <si>
    <t>8:50 AM</t>
  </si>
  <si>
    <t>4:33 PM</t>
  </si>
  <si>
    <t>8:52 AM</t>
  </si>
  <si>
    <t>4:43 PM</t>
  </si>
  <si>
    <t>8:51 AM</t>
  </si>
  <si>
    <t>4:44 PM</t>
  </si>
  <si>
    <t>4:53 PM</t>
  </si>
  <si>
    <t>4:39 PM</t>
  </si>
  <si>
    <t>8:55 AM</t>
  </si>
  <si>
    <t>4:37 PM</t>
  </si>
  <si>
    <t>8:38 AM</t>
  </si>
  <si>
    <t>4:40 PM</t>
  </si>
  <si>
    <t>8:47 AM</t>
  </si>
  <si>
    <t>8:35 AM</t>
  </si>
  <si>
    <t>4:34 PM</t>
  </si>
  <si>
    <t>5:32 PM</t>
  </si>
  <si>
    <t>9:07 AM</t>
  </si>
  <si>
    <t>9:55 AM</t>
  </si>
  <si>
    <t>9:12 AM</t>
  </si>
  <si>
    <t>5:56 PM</t>
  </si>
  <si>
    <t>9:44 AM</t>
  </si>
  <si>
    <t>6:22 PM</t>
  </si>
  <si>
    <t>8:59 AM</t>
  </si>
  <si>
    <t>12:02 PM</t>
  </si>
  <si>
    <t>5:20 PM</t>
  </si>
  <si>
    <t>5:11 PM</t>
  </si>
  <si>
    <t>9:54 AM</t>
  </si>
  <si>
    <t>9:35 AM</t>
  </si>
  <si>
    <t>6:17 PM</t>
  </si>
  <si>
    <t>9:33 AM</t>
  </si>
  <si>
    <t>8:36 AM</t>
  </si>
  <si>
    <t>8:30 AM</t>
  </si>
  <si>
    <t>5:24 PM</t>
  </si>
  <si>
    <t>8:20 AM</t>
  </si>
  <si>
    <t>5:44 PM</t>
  </si>
  <si>
    <t>8:56 AM</t>
  </si>
  <si>
    <t>8:28 AM</t>
  </si>
  <si>
    <t>6:00 PM</t>
  </si>
  <si>
    <t>5:31 PM</t>
  </si>
  <si>
    <t>8:44 AM</t>
  </si>
  <si>
    <t>4:21 PM</t>
  </si>
  <si>
    <t>4:46 PM</t>
  </si>
  <si>
    <t>8:24 AM</t>
  </si>
  <si>
    <t>5:39 PM</t>
  </si>
  <si>
    <t>8:26 AM</t>
  </si>
  <si>
    <t>5:52 PM</t>
  </si>
  <si>
    <t>5:37 PM</t>
  </si>
  <si>
    <t>8:33 AM</t>
  </si>
  <si>
    <t>5:01 PM</t>
  </si>
  <si>
    <t>12:50 PM</t>
  </si>
  <si>
    <t>6:15 PM</t>
  </si>
  <si>
    <t>5:51 PM</t>
  </si>
  <si>
    <t>8:25 AM</t>
  </si>
  <si>
    <t>8:16 AM</t>
  </si>
  <si>
    <t>8:15 AM</t>
  </si>
  <si>
    <t>5:38 PM</t>
  </si>
  <si>
    <t>8:21 AM</t>
  </si>
  <si>
    <t>8:17 AM</t>
  </si>
  <si>
    <t>5:43 PM</t>
  </si>
  <si>
    <t>8:18 AM</t>
  </si>
  <si>
    <t>4:51 PM</t>
  </si>
  <si>
    <t>8:23 AM</t>
  </si>
  <si>
    <t>8:22 AM</t>
  </si>
  <si>
    <t>8:19 AM</t>
  </si>
  <si>
    <t>5:46 PM</t>
  </si>
  <si>
    <t>6:16 PM</t>
  </si>
  <si>
    <t>4:36 PM</t>
  </si>
  <si>
    <t>8:41 AM</t>
  </si>
  <si>
    <t>8:42 AM</t>
  </si>
  <si>
    <t>6:48 PM</t>
  </si>
  <si>
    <t>5:13 PM</t>
  </si>
  <si>
    <t>4:03 PM</t>
  </si>
  <si>
    <t>8:43 AM</t>
  </si>
  <si>
    <t>6:32 PM</t>
  </si>
  <si>
    <t>6:24 PM</t>
  </si>
  <si>
    <t>5:57 PM</t>
  </si>
  <si>
    <t>7:12 PM</t>
  </si>
  <si>
    <t>5:36 PM</t>
  </si>
  <si>
    <t>6:49 PM</t>
  </si>
  <si>
    <t>5:54 PM</t>
  </si>
  <si>
    <t>8:58 AM</t>
  </si>
  <si>
    <t>5:18 PM</t>
  </si>
  <si>
    <t>9:02 AM</t>
  </si>
  <si>
    <t>5:04 PM</t>
  </si>
  <si>
    <t>9:50 AM</t>
  </si>
  <si>
    <t>4:29 PM</t>
  </si>
  <si>
    <t>9:22 AM</t>
  </si>
  <si>
    <t>4:56 PM</t>
  </si>
  <si>
    <t>9:09 AM</t>
  </si>
  <si>
    <t>5:16 PM</t>
  </si>
  <si>
    <t>5:07 PM</t>
  </si>
  <si>
    <t>5:09 PM</t>
  </si>
  <si>
    <t>3:26 PM</t>
  </si>
  <si>
    <t>8:07 AM</t>
  </si>
  <si>
    <t>8:34 AM</t>
  </si>
  <si>
    <t>5:08 PM</t>
  </si>
  <si>
    <t>5:27 PM</t>
  </si>
  <si>
    <t>8:11 AM</t>
  </si>
  <si>
    <t>5:15 PM</t>
  </si>
  <si>
    <t>8:09 AM</t>
  </si>
  <si>
    <t>8:01 AM</t>
  </si>
  <si>
    <t>8:27 AM</t>
  </si>
  <si>
    <t>6:29 PM</t>
  </si>
  <si>
    <t>8:12 AM</t>
  </si>
  <si>
    <t>8:14 AM</t>
  </si>
  <si>
    <t>6:54 PM</t>
  </si>
  <si>
    <t>6:34 PM</t>
  </si>
  <si>
    <t>6:41 PM</t>
  </si>
  <si>
    <t>5:41 PM</t>
  </si>
  <si>
    <t>8:29 AM</t>
  </si>
  <si>
    <t>7:14 PM</t>
  </si>
  <si>
    <t>8:31 AM</t>
  </si>
  <si>
    <t>6:18 PM</t>
  </si>
  <si>
    <t>8:37 AM</t>
  </si>
  <si>
    <t>6:10 PM</t>
  </si>
  <si>
    <t>6:07 PM</t>
  </si>
  <si>
    <t>8:40 AM</t>
  </si>
  <si>
    <t>4:54 PM</t>
  </si>
  <si>
    <t>6:47 PM</t>
  </si>
  <si>
    <t>4:12 PM</t>
  </si>
  <si>
    <t>8:39 AM</t>
  </si>
  <si>
    <t>3:31 PM</t>
  </si>
  <si>
    <t>5:35 PM</t>
  </si>
  <si>
    <t>5:59 PM</t>
  </si>
  <si>
    <t>3:56 PM</t>
  </si>
  <si>
    <t>6:03 PM</t>
  </si>
  <si>
    <t>5:53 PM</t>
  </si>
  <si>
    <t>6:26 PM</t>
  </si>
  <si>
    <t>8:54 AM</t>
  </si>
  <si>
    <t>5:02 PM</t>
  </si>
  <si>
    <t>5:00 PM</t>
  </si>
  <si>
    <t>9:06 AM</t>
  </si>
  <si>
    <t>9:00 AM</t>
  </si>
  <si>
    <t>8:57 AM</t>
  </si>
  <si>
    <t>4:11 PM</t>
  </si>
  <si>
    <t>9:36 AM</t>
  </si>
  <si>
    <t>5:45 PM</t>
  </si>
  <si>
    <t>3:17 PM</t>
  </si>
  <si>
    <t>11:58 AM</t>
  </si>
  <si>
    <t>1:22 PM</t>
  </si>
  <si>
    <t>9:10 AM</t>
  </si>
  <si>
    <t>7:17 PM</t>
  </si>
  <si>
    <t>4:02 PM</t>
  </si>
  <si>
    <t>8:08 AM</t>
  </si>
  <si>
    <t>5:22 PM</t>
  </si>
  <si>
    <t>8:03 AM</t>
  </si>
  <si>
    <t>8:05 AM</t>
  </si>
  <si>
    <t>8:10 AM</t>
  </si>
  <si>
    <t>8:13 AM</t>
  </si>
  <si>
    <t>8:32 AM</t>
  </si>
  <si>
    <t>8:06 AM</t>
  </si>
  <si>
    <t>7:11 PM</t>
  </si>
  <si>
    <t>6:53 PM</t>
  </si>
  <si>
    <t>4:42 PM</t>
  </si>
  <si>
    <t>6:06 PM</t>
  </si>
  <si>
    <t>10:37 AM</t>
  </si>
  <si>
    <t>9:16 AM</t>
  </si>
  <si>
    <t>5:50 PM</t>
  </si>
  <si>
    <t>5:55 PM</t>
  </si>
  <si>
    <t>5:42 PM</t>
  </si>
  <si>
    <t>6:25 PM</t>
  </si>
  <si>
    <t>10:00 AM</t>
  </si>
  <si>
    <t>7:18 PM</t>
  </si>
  <si>
    <t>5:28 PM</t>
  </si>
  <si>
    <t>9:45 AM</t>
  </si>
  <si>
    <t>5:48 PM</t>
  </si>
  <si>
    <t>10:15 AM</t>
  </si>
  <si>
    <t>9:26 AM</t>
  </si>
  <si>
    <t>6:14 PM</t>
  </si>
  <si>
    <t>10:01 AM</t>
  </si>
  <si>
    <t>9:17 AM</t>
  </si>
  <si>
    <t>10:55 AM</t>
  </si>
  <si>
    <t>5:30 PM</t>
  </si>
  <si>
    <t>5:10 PM</t>
  </si>
  <si>
    <t>4:48 PM</t>
  </si>
  <si>
    <t>5:03 PM</t>
  </si>
  <si>
    <t>4:15 PM</t>
  </si>
  <si>
    <t>6:12 PM</t>
  </si>
  <si>
    <t>9:28 AM</t>
  </si>
  <si>
    <t>6:08 PM</t>
  </si>
  <si>
    <t>4:49 PM</t>
  </si>
  <si>
    <t>5:58 PM</t>
  </si>
  <si>
    <t>5:05 PM</t>
  </si>
  <si>
    <t>10:42 AM</t>
  </si>
  <si>
    <t>5:06 PM</t>
  </si>
  <si>
    <t>Late Count (Days)</t>
  </si>
  <si>
    <t>Departmental Percentage</t>
  </si>
  <si>
    <t>2:16 PM</t>
  </si>
  <si>
    <t>6:27 PM</t>
  </si>
  <si>
    <t>6:21 PM</t>
  </si>
  <si>
    <t>6:02 PM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</si>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</sst>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rgb="FFDDEBF7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B0F0"/>
      </top>
      <bottom style="thin">
        <color theme="4" tint="0.39997558519241921"/>
      </bottom>
      <diagonal/>
    </border>
    <border>
      <left style="thin">
        <color rgb="FF00B0F0"/>
      </left>
      <right style="thin">
        <color rgb="FF00B0F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4" tint="0.3999755851924192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3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6" xfId="0" applyBorder="1"/>
    <xf numFmtId="1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4" borderId="2" xfId="0" applyFill="1" applyBorder="1"/>
    <xf numFmtId="164" fontId="0" fillId="3" borderId="1" xfId="0" applyNumberFormat="1" applyFill="1" applyBorder="1"/>
    <xf numFmtId="0" fontId="0" fillId="0" borderId="2" xfId="0" applyBorder="1"/>
    <xf numFmtId="19" fontId="0" fillId="0" borderId="1" xfId="0" applyNumberFormat="1" applyBorder="1"/>
    <xf numFmtId="15" fontId="0" fillId="4" borderId="11" xfId="0" applyNumberFormat="1" applyFill="1" applyBorder="1"/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1" fontId="0" fillId="4" borderId="2" xfId="0" applyNumberFormat="1" applyFill="1" applyBorder="1"/>
    <xf numFmtId="1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" fontId="0" fillId="4" borderId="2" xfId="0" applyNumberFormat="1" applyFill="1" applyBorder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0" fontId="0" fillId="0" borderId="12" xfId="0" applyNumberFormat="1" applyBorder="1"/>
    <xf numFmtId="0" fontId="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6" borderId="18" xfId="0" applyNumberFormat="1" applyFill="1" applyBorder="1"/>
    <xf numFmtId="10" fontId="0" fillId="6" borderId="12" xfId="0" applyNumberFormat="1" applyFill="1" applyBorder="1"/>
    <xf numFmtId="0" fontId="0" fillId="0" borderId="19" xfId="0" applyBorder="1" applyAlignment="1">
      <alignment horizontal="center" vertical="center" wrapText="1"/>
    </xf>
    <xf numFmtId="0" fontId="0" fillId="7" borderId="2" xfId="0" applyFill="1" applyBorder="1"/>
    <xf numFmtId="0" fontId="0" fillId="6" borderId="19" xfId="0" applyFill="1" applyBorder="1" applyAlignment="1">
      <alignment horizontal="center" vertical="center" wrapText="1"/>
    </xf>
    <xf numFmtId="1" fontId="0" fillId="7" borderId="2" xfId="0" applyNumberForma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10" fontId="5" fillId="0" borderId="16" xfId="0" applyNumberFormat="1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21'!$F$2:$F$23</c:f>
              <c:numCache>
                <c:formatCode>0</c:formatCode>
                <c:ptCount val="22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D-4585-A314-CEE6B2DD0B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21'!$E$2:$E$22</c:f>
              <c:numCache>
                <c:formatCode>0</c:formatCode>
                <c:ptCount val="21"/>
                <c:pt idx="0">
                  <c:v>498</c:v>
                </c:pt>
                <c:pt idx="1">
                  <c:v>495</c:v>
                </c:pt>
                <c:pt idx="2">
                  <c:v>0</c:v>
                </c:pt>
                <c:pt idx="3">
                  <c:v>485.99999999999994</c:v>
                </c:pt>
                <c:pt idx="4">
                  <c:v>0</c:v>
                </c:pt>
                <c:pt idx="5">
                  <c:v>488</c:v>
                </c:pt>
                <c:pt idx="6">
                  <c:v>495.99999999999994</c:v>
                </c:pt>
                <c:pt idx="7">
                  <c:v>490</c:v>
                </c:pt>
                <c:pt idx="8">
                  <c:v>496</c:v>
                </c:pt>
                <c:pt idx="9">
                  <c:v>503.99999999999994</c:v>
                </c:pt>
                <c:pt idx="10">
                  <c:v>505.00000000000006</c:v>
                </c:pt>
                <c:pt idx="11">
                  <c:v>524</c:v>
                </c:pt>
                <c:pt idx="12">
                  <c:v>0</c:v>
                </c:pt>
                <c:pt idx="13">
                  <c:v>481.99999999999994</c:v>
                </c:pt>
                <c:pt idx="14">
                  <c:v>0</c:v>
                </c:pt>
                <c:pt idx="15">
                  <c:v>481.99999999999994</c:v>
                </c:pt>
                <c:pt idx="16">
                  <c:v>455</c:v>
                </c:pt>
                <c:pt idx="17">
                  <c:v>517</c:v>
                </c:pt>
                <c:pt idx="18">
                  <c:v>561</c:v>
                </c:pt>
                <c:pt idx="19">
                  <c:v>555</c:v>
                </c:pt>
                <c:pt idx="20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2DD-B288-91EBD9A6E391}"/>
            </c:ext>
          </c:extLst>
        </c:ser>
        <c:ser>
          <c:idx val="1"/>
          <c:order val="1"/>
          <c:tx>
            <c:strRef>
              <c:f>'Sheet 21'!$F$1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21'!$F$2:$F$22</c:f>
              <c:numCache>
                <c:formatCode>0</c:formatCode>
                <c:ptCount val="21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A-42DD-B288-91EBD9A6E391}"/>
            </c:ext>
          </c:extLst>
        </c:ser>
        <c:ser>
          <c:idx val="2"/>
          <c:order val="2"/>
          <c:tx>
            <c:strRef>
              <c:f>'Sheet 21'!$G$1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21'!$G$2:$G$22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A-42DD-B288-91EBD9A6E391}"/>
            </c:ext>
          </c:extLst>
        </c:ser>
        <c:ser>
          <c:idx val="3"/>
          <c:order val="3"/>
          <c:tx>
            <c:strRef>
              <c:f>'Sheet 21'!$I$1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21'!$I$2:$I$22</c:f>
              <c:numCache>
                <c:formatCode>General</c:formatCode>
                <c:ptCount val="21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BA-42DD-B288-91EBD9A6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21'!$F$2:$F$23</c:f>
              <c:numCache>
                <c:formatCode>0</c:formatCode>
                <c:ptCount val="22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F-45FE-BA90-F0072D35B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21'!$E$2:$E$22</c:f>
              <c:numCache>
                <c:formatCode>0</c:formatCode>
                <c:ptCount val="21"/>
                <c:pt idx="0">
                  <c:v>498</c:v>
                </c:pt>
                <c:pt idx="1">
                  <c:v>495</c:v>
                </c:pt>
                <c:pt idx="2">
                  <c:v>0</c:v>
                </c:pt>
                <c:pt idx="3">
                  <c:v>485.99999999999994</c:v>
                </c:pt>
                <c:pt idx="4">
                  <c:v>0</c:v>
                </c:pt>
                <c:pt idx="5">
                  <c:v>488</c:v>
                </c:pt>
                <c:pt idx="6">
                  <c:v>495.99999999999994</c:v>
                </c:pt>
                <c:pt idx="7">
                  <c:v>490</c:v>
                </c:pt>
                <c:pt idx="8">
                  <c:v>496</c:v>
                </c:pt>
                <c:pt idx="9">
                  <c:v>503.99999999999994</c:v>
                </c:pt>
                <c:pt idx="10">
                  <c:v>505.00000000000006</c:v>
                </c:pt>
                <c:pt idx="11">
                  <c:v>524</c:v>
                </c:pt>
                <c:pt idx="12">
                  <c:v>0</c:v>
                </c:pt>
                <c:pt idx="13">
                  <c:v>481.99999999999994</c:v>
                </c:pt>
                <c:pt idx="14">
                  <c:v>0</c:v>
                </c:pt>
                <c:pt idx="15">
                  <c:v>481.99999999999994</c:v>
                </c:pt>
                <c:pt idx="16">
                  <c:v>455</c:v>
                </c:pt>
                <c:pt idx="17">
                  <c:v>517</c:v>
                </c:pt>
                <c:pt idx="18">
                  <c:v>561</c:v>
                </c:pt>
                <c:pt idx="19">
                  <c:v>555</c:v>
                </c:pt>
                <c:pt idx="20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B-4DB8-A777-A67F25642051}"/>
            </c:ext>
          </c:extLst>
        </c:ser>
        <c:ser>
          <c:idx val="1"/>
          <c:order val="1"/>
          <c:tx>
            <c:strRef>
              <c:f>'Sheet 21'!$F$1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21'!$F$2:$F$22</c:f>
              <c:numCache>
                <c:formatCode>0</c:formatCode>
                <c:ptCount val="21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B-4DB8-A777-A67F25642051}"/>
            </c:ext>
          </c:extLst>
        </c:ser>
        <c:ser>
          <c:idx val="2"/>
          <c:order val="2"/>
          <c:tx>
            <c:strRef>
              <c:f>'Sheet 21'!$G$1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21'!$G$2:$G$22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AB-4DB8-A777-A67F25642051}"/>
            </c:ext>
          </c:extLst>
        </c:ser>
        <c:ser>
          <c:idx val="3"/>
          <c:order val="3"/>
          <c:tx>
            <c:strRef>
              <c:f>'Sheet 21'!$I$1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21'!$I$2:$I$22</c:f>
              <c:numCache>
                <c:formatCode>General</c:formatCode>
                <c:ptCount val="21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AB-4DB8-A777-A67F2564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Sumbal Hanif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20'!$F$2:$F$23</c:f>
              <c:numCache>
                <c:formatCode>General</c:formatCode>
                <c:ptCount val="22"/>
                <c:pt idx="0" formatCode="0">
                  <c:v>10.999999999999961</c:v>
                </c:pt>
                <c:pt idx="1">
                  <c:v>0</c:v>
                </c:pt>
                <c:pt idx="2" formatCode="0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1.9999999999999929</c:v>
                </c:pt>
                <c:pt idx="13">
                  <c:v>0.99999999999999645</c:v>
                </c:pt>
                <c:pt idx="14" formatCode="0">
                  <c:v>0</c:v>
                </c:pt>
                <c:pt idx="15">
                  <c:v>0.99999999999999645</c:v>
                </c:pt>
                <c:pt idx="16" formatCode="0">
                  <c:v>4.9999999999999822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1.9999999999999929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9-43F4-A76F-4E78858CA7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Sumbal Hanif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20'!$E$1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20'!$E$2:$E$23</c:f>
              <c:numCache>
                <c:formatCode>0</c:formatCode>
                <c:ptCount val="22"/>
                <c:pt idx="0">
                  <c:v>454</c:v>
                </c:pt>
                <c:pt idx="1">
                  <c:v>488</c:v>
                </c:pt>
                <c:pt idx="2">
                  <c:v>0</c:v>
                </c:pt>
                <c:pt idx="3">
                  <c:v>494.00000000000006</c:v>
                </c:pt>
                <c:pt idx="4">
                  <c:v>479</c:v>
                </c:pt>
                <c:pt idx="5">
                  <c:v>480.99999999999994</c:v>
                </c:pt>
                <c:pt idx="6">
                  <c:v>483.99999999999994</c:v>
                </c:pt>
                <c:pt idx="7">
                  <c:v>484.99999999999994</c:v>
                </c:pt>
                <c:pt idx="8">
                  <c:v>473</c:v>
                </c:pt>
                <c:pt idx="9">
                  <c:v>484.99999999999994</c:v>
                </c:pt>
                <c:pt idx="10">
                  <c:v>468.99999999999994</c:v>
                </c:pt>
                <c:pt idx="11">
                  <c:v>462.99999999999994</c:v>
                </c:pt>
                <c:pt idx="12">
                  <c:v>470.99999999999994</c:v>
                </c:pt>
                <c:pt idx="13">
                  <c:v>472.99999999999994</c:v>
                </c:pt>
                <c:pt idx="14">
                  <c:v>483.00000000000006</c:v>
                </c:pt>
                <c:pt idx="15">
                  <c:v>467.99999999999994</c:v>
                </c:pt>
                <c:pt idx="16">
                  <c:v>461.99999999999994</c:v>
                </c:pt>
                <c:pt idx="17">
                  <c:v>481.99999999999994</c:v>
                </c:pt>
                <c:pt idx="18">
                  <c:v>476</c:v>
                </c:pt>
                <c:pt idx="19">
                  <c:v>481.99999999999994</c:v>
                </c:pt>
                <c:pt idx="20">
                  <c:v>467.99999999999994</c:v>
                </c:pt>
                <c:pt idx="21">
                  <c:v>461.99999999999994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F-4A0C-A914-83EDD1BD6608}"/>
            </c:ext>
          </c:extLst>
        </c:ser>
        <c:ser>
          <c:idx val="1"/>
          <c:order val="1"/>
          <c:tx>
            <c:strRef>
              <c:f>'Sheet 20'!$F$1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20'!$F$2:$F$23</c:f>
              <c:numCache>
                <c:formatCode>General</c:formatCode>
                <c:ptCount val="22"/>
                <c:pt idx="0" formatCode="0">
                  <c:v>10.999999999999961</c:v>
                </c:pt>
                <c:pt idx="1">
                  <c:v>0</c:v>
                </c:pt>
                <c:pt idx="2" formatCode="0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1.9999999999999929</c:v>
                </c:pt>
                <c:pt idx="13">
                  <c:v>0.99999999999999645</c:v>
                </c:pt>
                <c:pt idx="14" formatCode="0">
                  <c:v>0</c:v>
                </c:pt>
                <c:pt idx="15">
                  <c:v>0.99999999999999645</c:v>
                </c:pt>
                <c:pt idx="16" formatCode="0">
                  <c:v>4.9999999999999822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1.9999999999999929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F-4A0C-A914-83EDD1BD6608}"/>
            </c:ext>
          </c:extLst>
        </c:ser>
        <c:ser>
          <c:idx val="2"/>
          <c:order val="2"/>
          <c:tx>
            <c:strRef>
              <c:f>'Sheet 20'!$G$1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20'!$G$2:$G$23</c:f>
              <c:numCache>
                <c:formatCode>General</c:formatCode>
                <c:ptCount val="22"/>
                <c:pt idx="0" formatCode="0">
                  <c:v>26</c:v>
                </c:pt>
                <c:pt idx="1">
                  <c:v>0</c:v>
                </c:pt>
                <c:pt idx="2" formatCode="0">
                  <c:v>480</c:v>
                </c:pt>
                <c:pt idx="3">
                  <c:v>0</c:v>
                </c:pt>
                <c:pt idx="4" formatCode="0">
                  <c:v>1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7</c:v>
                </c:pt>
                <c:pt idx="9">
                  <c:v>0</c:v>
                </c:pt>
                <c:pt idx="10" formatCode="0">
                  <c:v>11.000000000000057</c:v>
                </c:pt>
                <c:pt idx="11">
                  <c:v>17.000000000000057</c:v>
                </c:pt>
                <c:pt idx="12" formatCode="0">
                  <c:v>9.0000000000000568</c:v>
                </c:pt>
                <c:pt idx="13">
                  <c:v>7.0000000000000568</c:v>
                </c:pt>
                <c:pt idx="14" formatCode="0">
                  <c:v>0</c:v>
                </c:pt>
                <c:pt idx="15">
                  <c:v>12.000000000000057</c:v>
                </c:pt>
                <c:pt idx="16" formatCode="0">
                  <c:v>18.000000000000057</c:v>
                </c:pt>
                <c:pt idx="17">
                  <c:v>0</c:v>
                </c:pt>
                <c:pt idx="18" formatCode="0">
                  <c:v>4</c:v>
                </c:pt>
                <c:pt idx="19">
                  <c:v>0</c:v>
                </c:pt>
                <c:pt idx="20" formatCode="0">
                  <c:v>12.000000000000057</c:v>
                </c:pt>
                <c:pt idx="21">
                  <c:v>18.000000000000057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F-4A0C-A914-83EDD1BD6608}"/>
            </c:ext>
          </c:extLst>
        </c:ser>
        <c:ser>
          <c:idx val="3"/>
          <c:order val="3"/>
          <c:tx>
            <c:strRef>
              <c:f>'Sheet 20'!$I$1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EF-4A0C-A914-83EDD1BD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Syed Mujtaba HaiderZaidi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19'!$F$2:$F$23</c:f>
              <c:numCache>
                <c:formatCode>0</c:formatCode>
                <c:ptCount val="22"/>
                <c:pt idx="0">
                  <c:v>34.999999999999957</c:v>
                </c:pt>
                <c:pt idx="1">
                  <c:v>24.999999999999993</c:v>
                </c:pt>
                <c:pt idx="2">
                  <c:v>0</c:v>
                </c:pt>
                <c:pt idx="3">
                  <c:v>17.999999999999936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14.999999999999947</c:v>
                </c:pt>
                <c:pt idx="8">
                  <c:v>10.999999999999961</c:v>
                </c:pt>
                <c:pt idx="9">
                  <c:v>64.999999999999929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22</c:v>
                </c:pt>
                <c:pt idx="13">
                  <c:v>53.999999999999972</c:v>
                </c:pt>
                <c:pt idx="14">
                  <c:v>8.999999999999968</c:v>
                </c:pt>
                <c:pt idx="15">
                  <c:v>191.99999999999994</c:v>
                </c:pt>
                <c:pt idx="16">
                  <c:v>13.99999999999995</c:v>
                </c:pt>
                <c:pt idx="17">
                  <c:v>63.999999999999929</c:v>
                </c:pt>
                <c:pt idx="18">
                  <c:v>45</c:v>
                </c:pt>
                <c:pt idx="19">
                  <c:v>22</c:v>
                </c:pt>
                <c:pt idx="20">
                  <c:v>27.999999999999979</c:v>
                </c:pt>
                <c:pt idx="21">
                  <c:v>42.999999999999929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8-4E3C-BFDE-0AC06126E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Syed Mujtaba HaiderZaidi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19'!$E$1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19'!$E$2:$E$23</c:f>
              <c:numCache>
                <c:formatCode>0</c:formatCode>
                <c:ptCount val="22"/>
                <c:pt idx="0">
                  <c:v>476</c:v>
                </c:pt>
                <c:pt idx="1">
                  <c:v>487.99999999999994</c:v>
                </c:pt>
                <c:pt idx="2">
                  <c:v>0</c:v>
                </c:pt>
                <c:pt idx="3">
                  <c:v>491</c:v>
                </c:pt>
                <c:pt idx="4">
                  <c:v>497.99999999999989</c:v>
                </c:pt>
                <c:pt idx="5">
                  <c:v>484.00000000000006</c:v>
                </c:pt>
                <c:pt idx="6">
                  <c:v>506.99999999999994</c:v>
                </c:pt>
                <c:pt idx="7">
                  <c:v>494</c:v>
                </c:pt>
                <c:pt idx="8">
                  <c:v>500</c:v>
                </c:pt>
                <c:pt idx="9">
                  <c:v>0</c:v>
                </c:pt>
                <c:pt idx="10">
                  <c:v>496.00000000000006</c:v>
                </c:pt>
                <c:pt idx="11">
                  <c:v>509.00000000000006</c:v>
                </c:pt>
                <c:pt idx="12">
                  <c:v>524</c:v>
                </c:pt>
                <c:pt idx="13">
                  <c:v>517.99999999999989</c:v>
                </c:pt>
                <c:pt idx="14">
                  <c:v>500</c:v>
                </c:pt>
                <c:pt idx="15">
                  <c:v>318</c:v>
                </c:pt>
                <c:pt idx="16">
                  <c:v>487</c:v>
                </c:pt>
                <c:pt idx="17">
                  <c:v>487</c:v>
                </c:pt>
                <c:pt idx="18">
                  <c:v>555</c:v>
                </c:pt>
                <c:pt idx="19">
                  <c:v>544.99999999999989</c:v>
                </c:pt>
                <c:pt idx="20">
                  <c:v>533</c:v>
                </c:pt>
                <c:pt idx="21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7-4A78-8D0F-2F9066D74CA4}"/>
            </c:ext>
          </c:extLst>
        </c:ser>
        <c:ser>
          <c:idx val="1"/>
          <c:order val="1"/>
          <c:tx>
            <c:strRef>
              <c:f>'Sheet 19'!$F$1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19'!$F$2:$F$23</c:f>
              <c:numCache>
                <c:formatCode>0</c:formatCode>
                <c:ptCount val="22"/>
                <c:pt idx="0">
                  <c:v>34.999999999999957</c:v>
                </c:pt>
                <c:pt idx="1">
                  <c:v>24.999999999999993</c:v>
                </c:pt>
                <c:pt idx="2">
                  <c:v>0</c:v>
                </c:pt>
                <c:pt idx="3">
                  <c:v>17.999999999999936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14.999999999999947</c:v>
                </c:pt>
                <c:pt idx="8">
                  <c:v>10.999999999999961</c:v>
                </c:pt>
                <c:pt idx="9">
                  <c:v>64.999999999999929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22</c:v>
                </c:pt>
                <c:pt idx="13">
                  <c:v>53.999999999999972</c:v>
                </c:pt>
                <c:pt idx="14">
                  <c:v>8.999999999999968</c:v>
                </c:pt>
                <c:pt idx="15">
                  <c:v>191.99999999999994</c:v>
                </c:pt>
                <c:pt idx="16">
                  <c:v>13.99999999999995</c:v>
                </c:pt>
                <c:pt idx="17">
                  <c:v>63.999999999999929</c:v>
                </c:pt>
                <c:pt idx="18">
                  <c:v>45</c:v>
                </c:pt>
                <c:pt idx="19">
                  <c:v>22</c:v>
                </c:pt>
                <c:pt idx="20">
                  <c:v>27.999999999999979</c:v>
                </c:pt>
                <c:pt idx="21">
                  <c:v>42.999999999999929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7-4A78-8D0F-2F9066D74CA4}"/>
            </c:ext>
          </c:extLst>
        </c:ser>
        <c:ser>
          <c:idx val="2"/>
          <c:order val="2"/>
          <c:tx>
            <c:strRef>
              <c:f>'Sheet 19'!$G$1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19'!$G$2:$G$23</c:f>
              <c:numCache>
                <c:formatCode>0</c:formatCode>
                <c:ptCount val="22"/>
                <c:pt idx="0">
                  <c:v>4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7-4A78-8D0F-2F9066D74CA4}"/>
            </c:ext>
          </c:extLst>
        </c:ser>
        <c:ser>
          <c:idx val="3"/>
          <c:order val="3"/>
          <c:tx>
            <c:strRef>
              <c:f>'Sheet 19'!$I$1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27-4A78-8D0F-2F9066D7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Sheraz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5.9999999999999787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5.9999999999999787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C-42FC-921D-9E9A987FF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Sheraz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18'!$E$1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18'!$E$2:$E$23</c:f>
              <c:numCache>
                <c:formatCode>0</c:formatCode>
                <c:ptCount val="22"/>
                <c:pt idx="0">
                  <c:v>501.00000000000006</c:v>
                </c:pt>
                <c:pt idx="1">
                  <c:v>533.99999999999989</c:v>
                </c:pt>
                <c:pt idx="2">
                  <c:v>564.00000000000011</c:v>
                </c:pt>
                <c:pt idx="3">
                  <c:v>528</c:v>
                </c:pt>
                <c:pt idx="4">
                  <c:v>572</c:v>
                </c:pt>
                <c:pt idx="5">
                  <c:v>535.99999999999989</c:v>
                </c:pt>
                <c:pt idx="6">
                  <c:v>457.00000000000006</c:v>
                </c:pt>
                <c:pt idx="7">
                  <c:v>495.99999999999994</c:v>
                </c:pt>
                <c:pt idx="8">
                  <c:v>555.00000000000011</c:v>
                </c:pt>
                <c:pt idx="9">
                  <c:v>566.00000000000011</c:v>
                </c:pt>
                <c:pt idx="10">
                  <c:v>548.99999999999989</c:v>
                </c:pt>
                <c:pt idx="11">
                  <c:v>508.00000000000006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254.99999999999997</c:v>
                </c:pt>
                <c:pt idx="16">
                  <c:v>0</c:v>
                </c:pt>
                <c:pt idx="17">
                  <c:v>577</c:v>
                </c:pt>
                <c:pt idx="18">
                  <c:v>535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887-8964-F9BE173503D1}"/>
            </c:ext>
          </c:extLst>
        </c:ser>
        <c:ser>
          <c:idx val="1"/>
          <c:order val="1"/>
          <c:tx>
            <c:strRef>
              <c:f>'Sheet 18'!$F$1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5.9999999999999787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5.9999999999999787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1-4887-8964-F9BE173503D1}"/>
            </c:ext>
          </c:extLst>
        </c:ser>
        <c:ser>
          <c:idx val="2"/>
          <c:order val="2"/>
          <c:tx>
            <c:strRef>
              <c:f>'Sheet 18'!$G$1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22.999999999999943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225.00000000000003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1-4887-8964-F9BE173503D1}"/>
            </c:ext>
          </c:extLst>
        </c:ser>
        <c:ser>
          <c:idx val="3"/>
          <c:order val="3"/>
          <c:tx>
            <c:strRef>
              <c:f>'Sheet 18'!$I$1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91-4887-8964-F9BE1735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Osama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17'!$F$2:$F$23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6-4794-BF0A-AA14E80F7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Osama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17'!$E$1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17'!$E$2:$E$23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563.00000000000011</c:v>
                </c:pt>
                <c:pt idx="4">
                  <c:v>543.00000000000011</c:v>
                </c:pt>
                <c:pt idx="5">
                  <c:v>559.00000000000011</c:v>
                </c:pt>
                <c:pt idx="6">
                  <c:v>0</c:v>
                </c:pt>
                <c:pt idx="7">
                  <c:v>0</c:v>
                </c:pt>
                <c:pt idx="8">
                  <c:v>562.00000000000011</c:v>
                </c:pt>
                <c:pt idx="9">
                  <c:v>515.00000000000011</c:v>
                </c:pt>
                <c:pt idx="10">
                  <c:v>502.99999999999989</c:v>
                </c:pt>
                <c:pt idx="11">
                  <c:v>502</c:v>
                </c:pt>
                <c:pt idx="12">
                  <c:v>541</c:v>
                </c:pt>
                <c:pt idx="13">
                  <c:v>567.00000000000011</c:v>
                </c:pt>
                <c:pt idx="14">
                  <c:v>578</c:v>
                </c:pt>
                <c:pt idx="15">
                  <c:v>491</c:v>
                </c:pt>
                <c:pt idx="16">
                  <c:v>0</c:v>
                </c:pt>
                <c:pt idx="17">
                  <c:v>0</c:v>
                </c:pt>
                <c:pt idx="18">
                  <c:v>553</c:v>
                </c:pt>
                <c:pt idx="19">
                  <c:v>530</c:v>
                </c:pt>
                <c:pt idx="20">
                  <c:v>625</c:v>
                </c:pt>
                <c:pt idx="21">
                  <c:v>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F-4E1E-BEE3-2CCBF556FF8E}"/>
            </c:ext>
          </c:extLst>
        </c:ser>
        <c:ser>
          <c:idx val="1"/>
          <c:order val="1"/>
          <c:tx>
            <c:strRef>
              <c:f>'Sheet 17'!$F$1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F-4E1E-BEE3-2CCBF556FF8E}"/>
            </c:ext>
          </c:extLst>
        </c:ser>
        <c:ser>
          <c:idx val="2"/>
          <c:order val="2"/>
          <c:tx>
            <c:strRef>
              <c:f>'Sheet 17'!$G$1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F-4E1E-BEE3-2CCBF556FF8E}"/>
            </c:ext>
          </c:extLst>
        </c:ser>
        <c:ser>
          <c:idx val="3"/>
          <c:order val="3"/>
          <c:tx>
            <c:strRef>
              <c:f>'Sheet 17'!$I$1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F-4E1E-BEE3-2CCBF556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Usman Qadeer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16'!$F$2:$F$23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4.9999999999999822</c:v>
                </c:pt>
                <c:pt idx="10">
                  <c:v>8.999999999999968</c:v>
                </c:pt>
                <c:pt idx="11">
                  <c:v>0</c:v>
                </c:pt>
                <c:pt idx="12">
                  <c:v>0</c:v>
                </c:pt>
                <c:pt idx="13">
                  <c:v>1.9999999999999929</c:v>
                </c:pt>
                <c:pt idx="14">
                  <c:v>0</c:v>
                </c:pt>
                <c:pt idx="15">
                  <c:v>0</c:v>
                </c:pt>
                <c:pt idx="16">
                  <c:v>7.9999999999999716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14.999999999999947</c:v>
                </c:pt>
                <c:pt idx="21">
                  <c:v>5.9999999999999787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F-4C7E-826D-0EAB730284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Usman Qadeer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16'!$E$1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16'!$E$2:$E$23</c:f>
              <c:numCache>
                <c:formatCode>0</c:formatCode>
                <c:ptCount val="22"/>
                <c:pt idx="0">
                  <c:v>496.00000000000006</c:v>
                </c:pt>
                <c:pt idx="1">
                  <c:v>430.99999999999989</c:v>
                </c:pt>
                <c:pt idx="2">
                  <c:v>542.00000000000011</c:v>
                </c:pt>
                <c:pt idx="3">
                  <c:v>589.00000000000011</c:v>
                </c:pt>
                <c:pt idx="4">
                  <c:v>577.00000000000011</c:v>
                </c:pt>
                <c:pt idx="5">
                  <c:v>519</c:v>
                </c:pt>
                <c:pt idx="6">
                  <c:v>548</c:v>
                </c:pt>
                <c:pt idx="7">
                  <c:v>489.99999999999994</c:v>
                </c:pt>
                <c:pt idx="8">
                  <c:v>530</c:v>
                </c:pt>
                <c:pt idx="9">
                  <c:v>542</c:v>
                </c:pt>
                <c:pt idx="10">
                  <c:v>501</c:v>
                </c:pt>
                <c:pt idx="11">
                  <c:v>0</c:v>
                </c:pt>
                <c:pt idx="12">
                  <c:v>629.00000000000011</c:v>
                </c:pt>
                <c:pt idx="13">
                  <c:v>523.99999999999989</c:v>
                </c:pt>
                <c:pt idx="14">
                  <c:v>611</c:v>
                </c:pt>
                <c:pt idx="15">
                  <c:v>549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493</c:v>
                </c:pt>
                <c:pt idx="21">
                  <c:v>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7-4F57-B1E3-341199EF559F}"/>
            </c:ext>
          </c:extLst>
        </c:ser>
        <c:ser>
          <c:idx val="1"/>
          <c:order val="1"/>
          <c:tx>
            <c:strRef>
              <c:f>'Sheet 16'!$F$1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4.9999999999999822</c:v>
                </c:pt>
                <c:pt idx="10">
                  <c:v>8.999999999999968</c:v>
                </c:pt>
                <c:pt idx="11">
                  <c:v>0</c:v>
                </c:pt>
                <c:pt idx="12">
                  <c:v>0</c:v>
                </c:pt>
                <c:pt idx="13">
                  <c:v>1.9999999999999929</c:v>
                </c:pt>
                <c:pt idx="14">
                  <c:v>0</c:v>
                </c:pt>
                <c:pt idx="15">
                  <c:v>0</c:v>
                </c:pt>
                <c:pt idx="16">
                  <c:v>7.9999999999999716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14.999999999999947</c:v>
                </c:pt>
                <c:pt idx="21">
                  <c:v>5.9999999999999787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7-4F57-B1E3-341199EF559F}"/>
            </c:ext>
          </c:extLst>
        </c:ser>
        <c:ser>
          <c:idx val="2"/>
          <c:order val="2"/>
          <c:tx>
            <c:strRef>
              <c:f>'Sheet 16'!$G$1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16'!$G$2:$G$23</c:f>
              <c:numCache>
                <c:formatCode>0</c:formatCode>
                <c:ptCount val="22"/>
                <c:pt idx="0">
                  <c:v>0</c:v>
                </c:pt>
                <c:pt idx="1">
                  <c:v>49.000000000000114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7-4F57-B1E3-341199EF559F}"/>
            </c:ext>
          </c:extLst>
        </c:ser>
        <c:ser>
          <c:idx val="3"/>
          <c:order val="3"/>
          <c:tx>
            <c:strRef>
              <c:f>'Sheet 16'!$I$1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57-4F57-B1E3-341199EF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Hamza Dar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15'!$F$2:$F$23</c:f>
              <c:numCache>
                <c:formatCode>0</c:formatCode>
                <c:ptCount val="22"/>
                <c:pt idx="0">
                  <c:v>16.99999999999994</c:v>
                </c:pt>
                <c:pt idx="1">
                  <c:v>24.999999999999993</c:v>
                </c:pt>
                <c:pt idx="2">
                  <c:v>0</c:v>
                </c:pt>
                <c:pt idx="3">
                  <c:v>11.999999999999957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20.999999999999925</c:v>
                </c:pt>
                <c:pt idx="8">
                  <c:v>10.999999999999961</c:v>
                </c:pt>
                <c:pt idx="9">
                  <c:v>59.999999999999943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31.999999999999964</c:v>
                </c:pt>
                <c:pt idx="13">
                  <c:v>4.9999999999999822</c:v>
                </c:pt>
                <c:pt idx="14">
                  <c:v>12.999999999999954</c:v>
                </c:pt>
                <c:pt idx="15">
                  <c:v>10.999999999999961</c:v>
                </c:pt>
                <c:pt idx="16">
                  <c:v>24.999999999999993</c:v>
                </c:pt>
                <c:pt idx="17">
                  <c:v>18.999999999999932</c:v>
                </c:pt>
                <c:pt idx="18">
                  <c:v>24.999999999999993</c:v>
                </c:pt>
                <c:pt idx="19">
                  <c:v>10.999999999999961</c:v>
                </c:pt>
                <c:pt idx="20">
                  <c:v>10.999999999999961</c:v>
                </c:pt>
                <c:pt idx="21">
                  <c:v>14.999999999999947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B-4BC8-87DA-D4A213B3B7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Hamza Dar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15'!$E$1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15'!$E$2:$E$23</c:f>
              <c:numCache>
                <c:formatCode>0</c:formatCode>
                <c:ptCount val="22"/>
                <c:pt idx="0">
                  <c:v>524</c:v>
                </c:pt>
                <c:pt idx="1">
                  <c:v>0</c:v>
                </c:pt>
                <c:pt idx="2">
                  <c:v>0</c:v>
                </c:pt>
                <c:pt idx="3">
                  <c:v>482.00000000000006</c:v>
                </c:pt>
                <c:pt idx="4">
                  <c:v>497.99999999999989</c:v>
                </c:pt>
                <c:pt idx="5">
                  <c:v>484.00000000000006</c:v>
                </c:pt>
                <c:pt idx="6">
                  <c:v>0</c:v>
                </c:pt>
                <c:pt idx="7">
                  <c:v>489</c:v>
                </c:pt>
                <c:pt idx="8">
                  <c:v>500</c:v>
                </c:pt>
                <c:pt idx="9">
                  <c:v>458.99999999999994</c:v>
                </c:pt>
                <c:pt idx="10">
                  <c:v>496.00000000000006</c:v>
                </c:pt>
                <c:pt idx="11">
                  <c:v>431</c:v>
                </c:pt>
                <c:pt idx="12">
                  <c:v>451.00000000000006</c:v>
                </c:pt>
                <c:pt idx="13">
                  <c:v>481.00000000000006</c:v>
                </c:pt>
                <c:pt idx="14">
                  <c:v>496</c:v>
                </c:pt>
                <c:pt idx="15">
                  <c:v>499</c:v>
                </c:pt>
                <c:pt idx="16">
                  <c:v>444.99999999999994</c:v>
                </c:pt>
                <c:pt idx="17">
                  <c:v>482.00000000000006</c:v>
                </c:pt>
                <c:pt idx="18">
                  <c:v>480.99999999999994</c:v>
                </c:pt>
                <c:pt idx="19">
                  <c:v>486.00000000000006</c:v>
                </c:pt>
                <c:pt idx="20">
                  <c:v>488</c:v>
                </c:pt>
                <c:pt idx="21">
                  <c:v>381.00000000000011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1-46B2-B8A9-1C0E2481F4CB}"/>
            </c:ext>
          </c:extLst>
        </c:ser>
        <c:ser>
          <c:idx val="1"/>
          <c:order val="1"/>
          <c:tx>
            <c:strRef>
              <c:f>'Sheet 15'!$F$1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15'!$F$2:$F$23</c:f>
              <c:numCache>
                <c:formatCode>0</c:formatCode>
                <c:ptCount val="22"/>
                <c:pt idx="0">
                  <c:v>16.99999999999994</c:v>
                </c:pt>
                <c:pt idx="1">
                  <c:v>24.999999999999993</c:v>
                </c:pt>
                <c:pt idx="2">
                  <c:v>0</c:v>
                </c:pt>
                <c:pt idx="3">
                  <c:v>11.999999999999957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20.999999999999925</c:v>
                </c:pt>
                <c:pt idx="8">
                  <c:v>10.999999999999961</c:v>
                </c:pt>
                <c:pt idx="9">
                  <c:v>59.999999999999943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31.999999999999964</c:v>
                </c:pt>
                <c:pt idx="13">
                  <c:v>4.9999999999999822</c:v>
                </c:pt>
                <c:pt idx="14">
                  <c:v>12.999999999999954</c:v>
                </c:pt>
                <c:pt idx="15">
                  <c:v>10.999999999999961</c:v>
                </c:pt>
                <c:pt idx="16">
                  <c:v>24.999999999999993</c:v>
                </c:pt>
                <c:pt idx="17">
                  <c:v>18.999999999999932</c:v>
                </c:pt>
                <c:pt idx="18">
                  <c:v>24.999999999999993</c:v>
                </c:pt>
                <c:pt idx="19">
                  <c:v>10.999999999999961</c:v>
                </c:pt>
                <c:pt idx="20">
                  <c:v>10.999999999999961</c:v>
                </c:pt>
                <c:pt idx="21">
                  <c:v>14.999999999999947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1-46B2-B8A9-1C0E2481F4CB}"/>
            </c:ext>
          </c:extLst>
        </c:ser>
        <c:ser>
          <c:idx val="2"/>
          <c:order val="2"/>
          <c:tx>
            <c:strRef>
              <c:f>'Sheet 15'!$G$1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15'!$G$2:$G$23</c:f>
              <c:numCache>
                <c:formatCode>0</c:formatCode>
                <c:ptCount val="22"/>
                <c:pt idx="0">
                  <c:v>0</c:v>
                </c:pt>
                <c:pt idx="1">
                  <c:v>480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</c:v>
                </c:pt>
                <c:pt idx="7">
                  <c:v>0</c:v>
                </c:pt>
                <c:pt idx="8">
                  <c:v>0</c:v>
                </c:pt>
                <c:pt idx="9">
                  <c:v>21.000000000000057</c:v>
                </c:pt>
                <c:pt idx="10">
                  <c:v>0</c:v>
                </c:pt>
                <c:pt idx="11">
                  <c:v>49</c:v>
                </c:pt>
                <c:pt idx="12">
                  <c:v>28.999999999999943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35.000000000000057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98.999999999999886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1-46B2-B8A9-1C0E2481F4CB}"/>
            </c:ext>
          </c:extLst>
        </c:ser>
        <c:ser>
          <c:idx val="3"/>
          <c:order val="3"/>
          <c:tx>
            <c:strRef>
              <c:f>'Sheet 15'!$I$1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1-46B2-B8A9-1C0E2481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Ahmed Rabbani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14'!$F$2:$F$23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3-4AC4-8E34-39EACDB6D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Ahmed Rabbani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14'!$E$1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14'!$E$2:$E$23</c:f>
              <c:numCache>
                <c:formatCode>0</c:formatCode>
                <c:ptCount val="22"/>
                <c:pt idx="0">
                  <c:v>517.99999999999989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514</c:v>
                </c:pt>
                <c:pt idx="13">
                  <c:v>549</c:v>
                </c:pt>
                <c:pt idx="14">
                  <c:v>503</c:v>
                </c:pt>
                <c:pt idx="15">
                  <c:v>560</c:v>
                </c:pt>
                <c:pt idx="16">
                  <c:v>483.99999999999994</c:v>
                </c:pt>
                <c:pt idx="17">
                  <c:v>512</c:v>
                </c:pt>
                <c:pt idx="18">
                  <c:v>592</c:v>
                </c:pt>
                <c:pt idx="19">
                  <c:v>610</c:v>
                </c:pt>
                <c:pt idx="20">
                  <c:v>575</c:v>
                </c:pt>
                <c:pt idx="21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5-47CA-8893-1C8D89A64ADB}"/>
            </c:ext>
          </c:extLst>
        </c:ser>
        <c:ser>
          <c:idx val="1"/>
          <c:order val="1"/>
          <c:tx>
            <c:strRef>
              <c:f>'Sheet 14'!$F$1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5-47CA-8893-1C8D89A64ADB}"/>
            </c:ext>
          </c:extLst>
        </c:ser>
        <c:ser>
          <c:idx val="2"/>
          <c:order val="2"/>
          <c:tx>
            <c:strRef>
              <c:f>'Sheet 14'!$G$1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5-47CA-8893-1C8D89A64ADB}"/>
            </c:ext>
          </c:extLst>
        </c:ser>
        <c:ser>
          <c:idx val="3"/>
          <c:order val="3"/>
          <c:tx>
            <c:strRef>
              <c:f>'Sheet 14'!$I$1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25-47CA-8893-1C8D89A64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Ali Yousaf Kharal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13'!$F$2:$F$23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7-46A2-BDF3-1EFB97B89C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Ali Yousaf Kharal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13'!$E$1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13'!$E$2:$E$23</c:f>
              <c:numCache>
                <c:formatCode>0</c:formatCode>
                <c:ptCount val="22"/>
                <c:pt idx="0">
                  <c:v>568.00000000000011</c:v>
                </c:pt>
                <c:pt idx="1">
                  <c:v>0</c:v>
                </c:pt>
                <c:pt idx="2">
                  <c:v>640</c:v>
                </c:pt>
                <c:pt idx="3">
                  <c:v>588</c:v>
                </c:pt>
                <c:pt idx="4">
                  <c:v>614</c:v>
                </c:pt>
                <c:pt idx="5">
                  <c:v>622</c:v>
                </c:pt>
                <c:pt idx="6">
                  <c:v>0</c:v>
                </c:pt>
                <c:pt idx="7">
                  <c:v>551</c:v>
                </c:pt>
                <c:pt idx="8">
                  <c:v>556.00000000000011</c:v>
                </c:pt>
                <c:pt idx="9">
                  <c:v>510.00000000000011</c:v>
                </c:pt>
                <c:pt idx="10">
                  <c:v>567</c:v>
                </c:pt>
                <c:pt idx="11">
                  <c:v>0</c:v>
                </c:pt>
                <c:pt idx="12">
                  <c:v>649.00000000000011</c:v>
                </c:pt>
                <c:pt idx="13">
                  <c:v>586.99999999999989</c:v>
                </c:pt>
                <c:pt idx="14">
                  <c:v>573</c:v>
                </c:pt>
                <c:pt idx="15">
                  <c:v>578</c:v>
                </c:pt>
                <c:pt idx="16">
                  <c:v>494.00000000000006</c:v>
                </c:pt>
                <c:pt idx="17">
                  <c:v>519</c:v>
                </c:pt>
                <c:pt idx="18">
                  <c:v>553</c:v>
                </c:pt>
                <c:pt idx="19">
                  <c:v>526</c:v>
                </c:pt>
                <c:pt idx="20">
                  <c:v>620</c:v>
                </c:pt>
                <c:pt idx="21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0-42AD-8FBC-8C2603FC6F85}"/>
            </c:ext>
          </c:extLst>
        </c:ser>
        <c:ser>
          <c:idx val="1"/>
          <c:order val="1"/>
          <c:tx>
            <c:strRef>
              <c:f>'Sheet 13'!$F$1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0-42AD-8FBC-8C2603FC6F85}"/>
            </c:ext>
          </c:extLst>
        </c:ser>
        <c:ser>
          <c:idx val="2"/>
          <c:order val="2"/>
          <c:tx>
            <c:strRef>
              <c:f>'Sheet 13'!$G$1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0-42AD-8FBC-8C2603FC6F85}"/>
            </c:ext>
          </c:extLst>
        </c:ser>
        <c:ser>
          <c:idx val="3"/>
          <c:order val="3"/>
          <c:tx>
            <c:strRef>
              <c:f>'Sheet 13'!$I$1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60-42AD-8FBC-8C2603FC6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Ahmad Zubair Hashim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B-4015-84E1-F9997630E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Ahmad Zubair Hashim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12'!$E$1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12'!$E$2:$E$23</c:f>
              <c:numCache>
                <c:formatCode>0</c:formatCode>
                <c:ptCount val="22"/>
                <c:pt idx="0">
                  <c:v>485.00000000000011</c:v>
                </c:pt>
                <c:pt idx="1">
                  <c:v>462.00000000000006</c:v>
                </c:pt>
                <c:pt idx="2">
                  <c:v>512</c:v>
                </c:pt>
                <c:pt idx="3">
                  <c:v>526</c:v>
                </c:pt>
                <c:pt idx="4">
                  <c:v>520</c:v>
                </c:pt>
                <c:pt idx="5">
                  <c:v>502.00000000000006</c:v>
                </c:pt>
                <c:pt idx="6">
                  <c:v>437.00000000000006</c:v>
                </c:pt>
                <c:pt idx="7">
                  <c:v>509.00000000000006</c:v>
                </c:pt>
                <c:pt idx="8">
                  <c:v>486.99999999999994</c:v>
                </c:pt>
                <c:pt idx="9">
                  <c:v>492.99999999999994</c:v>
                </c:pt>
                <c:pt idx="10">
                  <c:v>489.99999999999994</c:v>
                </c:pt>
                <c:pt idx="11">
                  <c:v>569</c:v>
                </c:pt>
                <c:pt idx="12">
                  <c:v>505.00000000000006</c:v>
                </c:pt>
                <c:pt idx="13">
                  <c:v>551</c:v>
                </c:pt>
                <c:pt idx="14">
                  <c:v>579</c:v>
                </c:pt>
                <c:pt idx="15">
                  <c:v>571</c:v>
                </c:pt>
                <c:pt idx="16">
                  <c:v>450</c:v>
                </c:pt>
                <c:pt idx="17">
                  <c:v>493.99999999999994</c:v>
                </c:pt>
                <c:pt idx="18">
                  <c:v>563</c:v>
                </c:pt>
                <c:pt idx="19">
                  <c:v>557</c:v>
                </c:pt>
                <c:pt idx="20">
                  <c:v>558</c:v>
                </c:pt>
                <c:pt idx="21">
                  <c:v>589.00000000000011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5-4741-B930-62F3BB7BAC6C}"/>
            </c:ext>
          </c:extLst>
        </c:ser>
        <c:ser>
          <c:idx val="1"/>
          <c:order val="1"/>
          <c:tx>
            <c:strRef>
              <c:f>'Sheet 12'!$F$1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5-4741-B930-62F3BB7BAC6C}"/>
            </c:ext>
          </c:extLst>
        </c:ser>
        <c:ser>
          <c:idx val="2"/>
          <c:order val="2"/>
          <c:tx>
            <c:strRef>
              <c:f>'Sheet 12'!$G$1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12'!$G$2:$G$23</c:f>
              <c:numCache>
                <c:formatCode>0</c:formatCode>
                <c:ptCount val="22"/>
                <c:pt idx="0">
                  <c:v>0</c:v>
                </c:pt>
                <c:pt idx="1">
                  <c:v>17.999999999999943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42.999999999999943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5-4741-B930-62F3BB7BAC6C}"/>
            </c:ext>
          </c:extLst>
        </c:ser>
        <c:ser>
          <c:idx val="3"/>
          <c:order val="3"/>
          <c:tx>
            <c:strRef>
              <c:f>'Sheet 12'!$I$1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5-4741-B930-62F3BB7B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 Ehsan Irshad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11'!$F$2:$F$23</c:f>
              <c:numCache>
                <c:formatCode>General</c:formatCode>
                <c:ptCount val="22"/>
                <c:pt idx="0" formatCode="0">
                  <c:v>3.9999999999999858</c:v>
                </c:pt>
                <c:pt idx="1">
                  <c:v>3.9999999999999858</c:v>
                </c:pt>
                <c:pt idx="2" formatCode="0">
                  <c:v>8.999999999999968</c:v>
                </c:pt>
                <c:pt idx="3">
                  <c:v>15.999999999999943</c:v>
                </c:pt>
                <c:pt idx="4" formatCode="0">
                  <c:v>11.999999999999957</c:v>
                </c:pt>
                <c:pt idx="5">
                  <c:v>18.999999999999932</c:v>
                </c:pt>
                <c:pt idx="6" formatCode="0">
                  <c:v>10.999999999999961</c:v>
                </c:pt>
                <c:pt idx="7">
                  <c:v>17.999999999999936</c:v>
                </c:pt>
                <c:pt idx="8" formatCode="0">
                  <c:v>9.9999999999999645</c:v>
                </c:pt>
                <c:pt idx="9">
                  <c:v>7.9999999999999716</c:v>
                </c:pt>
                <c:pt idx="10" formatCode="0">
                  <c:v>8.999999999999968</c:v>
                </c:pt>
                <c:pt idx="11">
                  <c:v>8.999999999999968</c:v>
                </c:pt>
                <c:pt idx="12" formatCode="0">
                  <c:v>11.999999999999957</c:v>
                </c:pt>
                <c:pt idx="13">
                  <c:v>9.9999999999999645</c:v>
                </c:pt>
                <c:pt idx="14" formatCode="0">
                  <c:v>6.9999999999999751</c:v>
                </c:pt>
                <c:pt idx="15">
                  <c:v>10.999999999999961</c:v>
                </c:pt>
                <c:pt idx="16" formatCode="0">
                  <c:v>10.999999999999961</c:v>
                </c:pt>
                <c:pt idx="17">
                  <c:v>15.999999999999943</c:v>
                </c:pt>
                <c:pt idx="18" formatCode="0">
                  <c:v>13.99999999999995</c:v>
                </c:pt>
                <c:pt idx="19">
                  <c:v>12.999999999999954</c:v>
                </c:pt>
                <c:pt idx="20" formatCode="0">
                  <c:v>11.999999999999957</c:v>
                </c:pt>
                <c:pt idx="21">
                  <c:v>10.999999999999961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2-4669-AFDA-688D1F179A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 Ehsan Irshad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11'!$E$2:$E$23</c:f>
              <c:numCache>
                <c:formatCode>0</c:formatCode>
                <c:ptCount val="22"/>
                <c:pt idx="0">
                  <c:v>487</c:v>
                </c:pt>
                <c:pt idx="1">
                  <c:v>488</c:v>
                </c:pt>
                <c:pt idx="2">
                  <c:v>481.00000000000006</c:v>
                </c:pt>
                <c:pt idx="3">
                  <c:v>474.00000000000006</c:v>
                </c:pt>
                <c:pt idx="4">
                  <c:v>480.00000000000006</c:v>
                </c:pt>
                <c:pt idx="5">
                  <c:v>473.00000000000006</c:v>
                </c:pt>
                <c:pt idx="6">
                  <c:v>480.00000000000006</c:v>
                </c:pt>
                <c:pt idx="7">
                  <c:v>474.00000000000006</c:v>
                </c:pt>
                <c:pt idx="8">
                  <c:v>481.00000000000006</c:v>
                </c:pt>
                <c:pt idx="9">
                  <c:v>483.00000000000006</c:v>
                </c:pt>
                <c:pt idx="10">
                  <c:v>482.00000000000006</c:v>
                </c:pt>
                <c:pt idx="11">
                  <c:v>481.00000000000006</c:v>
                </c:pt>
                <c:pt idx="12">
                  <c:v>480.00000000000006</c:v>
                </c:pt>
                <c:pt idx="13">
                  <c:v>482.00000000000006</c:v>
                </c:pt>
                <c:pt idx="14">
                  <c:v>485.00000000000006</c:v>
                </c:pt>
                <c:pt idx="15">
                  <c:v>480.00000000000006</c:v>
                </c:pt>
                <c:pt idx="16">
                  <c:v>480.00000000000006</c:v>
                </c:pt>
                <c:pt idx="17">
                  <c:v>474.00000000000006</c:v>
                </c:pt>
                <c:pt idx="18">
                  <c:v>478.00000000000006</c:v>
                </c:pt>
                <c:pt idx="19">
                  <c:v>479.00000000000006</c:v>
                </c:pt>
                <c:pt idx="20">
                  <c:v>479.00000000000006</c:v>
                </c:pt>
                <c:pt idx="21">
                  <c:v>469.99999999999994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66A-A0C0-F3BAA799C1A6}"/>
            </c:ext>
          </c:extLst>
        </c:ser>
        <c:ser>
          <c:idx val="1"/>
          <c:order val="1"/>
          <c:tx>
            <c:strRef>
              <c:f>'Sheet 11'!$F$1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11'!$F$2:$F$23</c:f>
              <c:numCache>
                <c:formatCode>General</c:formatCode>
                <c:ptCount val="22"/>
                <c:pt idx="0" formatCode="0">
                  <c:v>3.9999999999999858</c:v>
                </c:pt>
                <c:pt idx="1">
                  <c:v>3.9999999999999858</c:v>
                </c:pt>
                <c:pt idx="2" formatCode="0">
                  <c:v>8.999999999999968</c:v>
                </c:pt>
                <c:pt idx="3">
                  <c:v>15.999999999999943</c:v>
                </c:pt>
                <c:pt idx="4" formatCode="0">
                  <c:v>11.999999999999957</c:v>
                </c:pt>
                <c:pt idx="5">
                  <c:v>18.999999999999932</c:v>
                </c:pt>
                <c:pt idx="6" formatCode="0">
                  <c:v>10.999999999999961</c:v>
                </c:pt>
                <c:pt idx="7">
                  <c:v>17.999999999999936</c:v>
                </c:pt>
                <c:pt idx="8" formatCode="0">
                  <c:v>9.9999999999999645</c:v>
                </c:pt>
                <c:pt idx="9">
                  <c:v>7.9999999999999716</c:v>
                </c:pt>
                <c:pt idx="10" formatCode="0">
                  <c:v>8.999999999999968</c:v>
                </c:pt>
                <c:pt idx="11">
                  <c:v>8.999999999999968</c:v>
                </c:pt>
                <c:pt idx="12" formatCode="0">
                  <c:v>11.999999999999957</c:v>
                </c:pt>
                <c:pt idx="13">
                  <c:v>9.9999999999999645</c:v>
                </c:pt>
                <c:pt idx="14" formatCode="0">
                  <c:v>6.9999999999999751</c:v>
                </c:pt>
                <c:pt idx="15">
                  <c:v>10.999999999999961</c:v>
                </c:pt>
                <c:pt idx="16" formatCode="0">
                  <c:v>10.999999999999961</c:v>
                </c:pt>
                <c:pt idx="17">
                  <c:v>15.999999999999943</c:v>
                </c:pt>
                <c:pt idx="18" formatCode="0">
                  <c:v>13.99999999999995</c:v>
                </c:pt>
                <c:pt idx="19">
                  <c:v>12.999999999999954</c:v>
                </c:pt>
                <c:pt idx="20" formatCode="0">
                  <c:v>11.999999999999957</c:v>
                </c:pt>
                <c:pt idx="21">
                  <c:v>10.999999999999961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66A-A0C0-F3BAA799C1A6}"/>
            </c:ext>
          </c:extLst>
        </c:ser>
        <c:ser>
          <c:idx val="2"/>
          <c:order val="2"/>
          <c:tx>
            <c:strRef>
              <c:f>'Sheet 11'!$G$1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0</c:v>
                </c:pt>
                <c:pt idx="3">
                  <c:v>5.9999999999999432</c:v>
                </c:pt>
                <c:pt idx="4" formatCode="0">
                  <c:v>0</c:v>
                </c:pt>
                <c:pt idx="5">
                  <c:v>6.9999999999999432</c:v>
                </c:pt>
                <c:pt idx="6" formatCode="0">
                  <c:v>0</c:v>
                </c:pt>
                <c:pt idx="7">
                  <c:v>5.9999999999999432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5.9999999999999432</c:v>
                </c:pt>
                <c:pt idx="18" formatCode="0">
                  <c:v>1.9999999999999432</c:v>
                </c:pt>
                <c:pt idx="19">
                  <c:v>0.99999999999994316</c:v>
                </c:pt>
                <c:pt idx="20" formatCode="0">
                  <c:v>0.99999999999994316</c:v>
                </c:pt>
                <c:pt idx="21">
                  <c:v>10.000000000000057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0-466A-A0C0-F3BAA799C1A6}"/>
            </c:ext>
          </c:extLst>
        </c:ser>
        <c:ser>
          <c:idx val="3"/>
          <c:order val="3"/>
          <c:tx>
            <c:strRef>
              <c:f>'Sheet 11'!$I$1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0-466A-A0C0-F3BAA799C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Amad Atiq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10'!$F$2:$F$23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17.999999999999936</c:v>
                </c:pt>
                <c:pt idx="2" formatCode="0">
                  <c:v>23.999999999999993</c:v>
                </c:pt>
                <c:pt idx="3">
                  <c:v>23</c:v>
                </c:pt>
                <c:pt idx="4" formatCode="0">
                  <c:v>521.99999999999989</c:v>
                </c:pt>
                <c:pt idx="5">
                  <c:v>13.99999999999995</c:v>
                </c:pt>
                <c:pt idx="6" formatCode="0">
                  <c:v>46</c:v>
                </c:pt>
                <c:pt idx="7">
                  <c:v>20.999999999999925</c:v>
                </c:pt>
                <c:pt idx="8" formatCode="0">
                  <c:v>23</c:v>
                </c:pt>
                <c:pt idx="9">
                  <c:v>0</c:v>
                </c:pt>
                <c:pt idx="10" formatCode="0">
                  <c:v>24.999999999999993</c:v>
                </c:pt>
                <c:pt idx="11">
                  <c:v>0</c:v>
                </c:pt>
                <c:pt idx="12" formatCode="0">
                  <c:v>11.999999999999957</c:v>
                </c:pt>
                <c:pt idx="13">
                  <c:v>24.999999999999993</c:v>
                </c:pt>
                <c:pt idx="14" formatCode="0">
                  <c:v>19.999999999999929</c:v>
                </c:pt>
                <c:pt idx="15">
                  <c:v>28.999999999999979</c:v>
                </c:pt>
                <c:pt idx="16" formatCode="0">
                  <c:v>46.999999999999993</c:v>
                </c:pt>
                <c:pt idx="17">
                  <c:v>33.999999999999957</c:v>
                </c:pt>
                <c:pt idx="18" formatCode="0">
                  <c:v>600</c:v>
                </c:pt>
                <c:pt idx="19">
                  <c:v>34.999999999999957</c:v>
                </c:pt>
                <c:pt idx="20" formatCode="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0-4957-8D74-C8C125E169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Amad Atiq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10'!$E$1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10'!$E$2:$E$23</c:f>
              <c:numCache>
                <c:formatCode>0</c:formatCode>
                <c:ptCount val="22"/>
                <c:pt idx="0">
                  <c:v>0</c:v>
                </c:pt>
                <c:pt idx="1">
                  <c:v>476.00000000000006</c:v>
                </c:pt>
                <c:pt idx="2">
                  <c:v>466</c:v>
                </c:pt>
                <c:pt idx="3">
                  <c:v>485.99999999999994</c:v>
                </c:pt>
                <c:pt idx="4">
                  <c:v>0</c:v>
                </c:pt>
                <c:pt idx="5">
                  <c:v>427.00000000000006</c:v>
                </c:pt>
                <c:pt idx="6">
                  <c:v>489</c:v>
                </c:pt>
                <c:pt idx="7">
                  <c:v>489</c:v>
                </c:pt>
                <c:pt idx="8">
                  <c:v>363.99999999999989</c:v>
                </c:pt>
                <c:pt idx="9">
                  <c:v>0</c:v>
                </c:pt>
                <c:pt idx="10">
                  <c:v>162.99999999999997</c:v>
                </c:pt>
                <c:pt idx="11">
                  <c:v>0</c:v>
                </c:pt>
                <c:pt idx="12">
                  <c:v>260.00000000000006</c:v>
                </c:pt>
                <c:pt idx="13">
                  <c:v>481.99999999999994</c:v>
                </c:pt>
                <c:pt idx="14">
                  <c:v>489</c:v>
                </c:pt>
                <c:pt idx="15">
                  <c:v>480.99999999999994</c:v>
                </c:pt>
                <c:pt idx="16">
                  <c:v>455</c:v>
                </c:pt>
                <c:pt idx="17">
                  <c:v>517</c:v>
                </c:pt>
                <c:pt idx="18">
                  <c:v>0</c:v>
                </c:pt>
                <c:pt idx="19">
                  <c:v>555</c:v>
                </c:pt>
                <c:pt idx="20">
                  <c:v>596</c:v>
                </c:pt>
                <c:pt idx="21">
                  <c:v>484.99999999999994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6-4313-BEA8-EE06C015BBEE}"/>
            </c:ext>
          </c:extLst>
        </c:ser>
        <c:ser>
          <c:idx val="1"/>
          <c:order val="1"/>
          <c:tx>
            <c:strRef>
              <c:f>'Sheet 10'!$F$1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10'!$F$2:$F$23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17.999999999999936</c:v>
                </c:pt>
                <c:pt idx="2" formatCode="0">
                  <c:v>23.999999999999993</c:v>
                </c:pt>
                <c:pt idx="3">
                  <c:v>23</c:v>
                </c:pt>
                <c:pt idx="4" formatCode="0">
                  <c:v>521.99999999999989</c:v>
                </c:pt>
                <c:pt idx="5">
                  <c:v>13.99999999999995</c:v>
                </c:pt>
                <c:pt idx="6" formatCode="0">
                  <c:v>46</c:v>
                </c:pt>
                <c:pt idx="7">
                  <c:v>20.999999999999925</c:v>
                </c:pt>
                <c:pt idx="8" formatCode="0">
                  <c:v>23</c:v>
                </c:pt>
                <c:pt idx="9">
                  <c:v>0</c:v>
                </c:pt>
                <c:pt idx="10" formatCode="0">
                  <c:v>24.999999999999993</c:v>
                </c:pt>
                <c:pt idx="11">
                  <c:v>0</c:v>
                </c:pt>
                <c:pt idx="12" formatCode="0">
                  <c:v>11.999999999999957</c:v>
                </c:pt>
                <c:pt idx="13">
                  <c:v>24.999999999999993</c:v>
                </c:pt>
                <c:pt idx="14" formatCode="0">
                  <c:v>19.999999999999929</c:v>
                </c:pt>
                <c:pt idx="15">
                  <c:v>28.999999999999979</c:v>
                </c:pt>
                <c:pt idx="16" formatCode="0">
                  <c:v>46.999999999999993</c:v>
                </c:pt>
                <c:pt idx="17">
                  <c:v>33.999999999999957</c:v>
                </c:pt>
                <c:pt idx="18" formatCode="0">
                  <c:v>600</c:v>
                </c:pt>
                <c:pt idx="19">
                  <c:v>34.999999999999957</c:v>
                </c:pt>
                <c:pt idx="20" formatCode="0">
                  <c:v>30.999999999999972</c:v>
                </c:pt>
                <c:pt idx="21">
                  <c:v>36.99999999999995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6-4313-BEA8-EE06C015BBEE}"/>
            </c:ext>
          </c:extLst>
        </c:ser>
        <c:ser>
          <c:idx val="2"/>
          <c:order val="2"/>
          <c:tx>
            <c:strRef>
              <c:f>'Sheet 10'!$G$1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3.9999999999999432</c:v>
                </c:pt>
                <c:pt idx="2" formatCode="0">
                  <c:v>14</c:v>
                </c:pt>
                <c:pt idx="3">
                  <c:v>0</c:v>
                </c:pt>
                <c:pt idx="4" formatCode="0">
                  <c:v>480</c:v>
                </c:pt>
                <c:pt idx="5">
                  <c:v>52.999999999999943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116.00000000000011</c:v>
                </c:pt>
                <c:pt idx="9">
                  <c:v>0</c:v>
                </c:pt>
                <c:pt idx="10" formatCode="0">
                  <c:v>317</c:v>
                </c:pt>
                <c:pt idx="11">
                  <c:v>0</c:v>
                </c:pt>
                <c:pt idx="12" formatCode="0">
                  <c:v>219.99999999999994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25</c:v>
                </c:pt>
                <c:pt idx="17">
                  <c:v>0</c:v>
                </c:pt>
                <c:pt idx="18" formatCode="0">
                  <c:v>480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6-4313-BEA8-EE06C015BBEE}"/>
            </c:ext>
          </c:extLst>
        </c:ser>
        <c:ser>
          <c:idx val="3"/>
          <c:order val="3"/>
          <c:tx>
            <c:strRef>
              <c:f>'Sheet 10'!$I$1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6-4313-BEA8-EE06C015B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Rana Abdul Rehman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9'!$F$2:$F$23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A-44D2-8DAB-91C4D2BE8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Rana Abdul Rehman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9'!$E$1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9'!$E$2:$E$23</c:f>
              <c:numCache>
                <c:formatCode>0</c:formatCode>
                <c:ptCount val="22"/>
                <c:pt idx="0">
                  <c:v>0</c:v>
                </c:pt>
                <c:pt idx="1">
                  <c:v>474.99999999999989</c:v>
                </c:pt>
                <c:pt idx="2">
                  <c:v>0</c:v>
                </c:pt>
                <c:pt idx="3">
                  <c:v>554</c:v>
                </c:pt>
                <c:pt idx="4">
                  <c:v>557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535</c:v>
                </c:pt>
                <c:pt idx="13">
                  <c:v>549</c:v>
                </c:pt>
                <c:pt idx="14">
                  <c:v>0</c:v>
                </c:pt>
                <c:pt idx="15">
                  <c:v>562</c:v>
                </c:pt>
                <c:pt idx="16">
                  <c:v>483.99999999999994</c:v>
                </c:pt>
                <c:pt idx="17">
                  <c:v>518</c:v>
                </c:pt>
                <c:pt idx="18">
                  <c:v>593</c:v>
                </c:pt>
                <c:pt idx="19">
                  <c:v>603.99999999999989</c:v>
                </c:pt>
                <c:pt idx="20">
                  <c:v>575</c:v>
                </c:pt>
                <c:pt idx="21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7-4BAF-A46C-4FF67835DD94}"/>
            </c:ext>
          </c:extLst>
        </c:ser>
        <c:ser>
          <c:idx val="1"/>
          <c:order val="1"/>
          <c:tx>
            <c:strRef>
              <c:f>'Sheet 9'!$F$1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7-4BAF-A46C-4FF67835DD94}"/>
            </c:ext>
          </c:extLst>
        </c:ser>
        <c:ser>
          <c:idx val="2"/>
          <c:order val="2"/>
          <c:tx>
            <c:strRef>
              <c:f>'Sheet 9'!$G$1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9'!$G$2:$G$23</c:f>
              <c:numCache>
                <c:formatCode>0</c:formatCode>
                <c:ptCount val="22"/>
                <c:pt idx="0">
                  <c:v>0</c:v>
                </c:pt>
                <c:pt idx="1">
                  <c:v>5.0000000000001137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7-4BAF-A46C-4FF67835DD94}"/>
            </c:ext>
          </c:extLst>
        </c:ser>
        <c:ser>
          <c:idx val="3"/>
          <c:order val="3"/>
          <c:tx>
            <c:strRef>
              <c:f>'Sheet 9'!$I$1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7-4BAF-A46C-4FF67835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Aqib Nawaz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106.99999999999994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9-4421-97C8-51957ED01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Aqib Nawaz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8'!$E$1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8'!$E$2:$E$23</c:f>
              <c:numCache>
                <c:formatCode>0</c:formatCode>
                <c:ptCount val="22"/>
                <c:pt idx="0">
                  <c:v>559</c:v>
                </c:pt>
                <c:pt idx="1">
                  <c:v>503.00000000000006</c:v>
                </c:pt>
                <c:pt idx="2">
                  <c:v>643</c:v>
                </c:pt>
                <c:pt idx="3">
                  <c:v>534.99999999999989</c:v>
                </c:pt>
                <c:pt idx="4">
                  <c:v>548.99999999999989</c:v>
                </c:pt>
                <c:pt idx="5">
                  <c:v>549</c:v>
                </c:pt>
                <c:pt idx="6">
                  <c:v>620</c:v>
                </c:pt>
                <c:pt idx="7">
                  <c:v>538.99999999999989</c:v>
                </c:pt>
                <c:pt idx="8">
                  <c:v>587</c:v>
                </c:pt>
                <c:pt idx="9">
                  <c:v>492.99999999999994</c:v>
                </c:pt>
                <c:pt idx="10">
                  <c:v>572</c:v>
                </c:pt>
                <c:pt idx="11">
                  <c:v>499.00000000000006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520</c:v>
                </c:pt>
                <c:pt idx="18">
                  <c:v>439.00000000000006</c:v>
                </c:pt>
                <c:pt idx="19">
                  <c:v>582.00000000000011</c:v>
                </c:pt>
                <c:pt idx="20">
                  <c:v>519</c:v>
                </c:pt>
                <c:pt idx="21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1-475C-85FF-6114D154B2A5}"/>
            </c:ext>
          </c:extLst>
        </c:ser>
        <c:ser>
          <c:idx val="1"/>
          <c:order val="1"/>
          <c:tx>
            <c:strRef>
              <c:f>'Sheet 8'!$F$1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106.99999999999994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1-475C-85FF-6114D154B2A5}"/>
            </c:ext>
          </c:extLst>
        </c:ser>
        <c:ser>
          <c:idx val="2"/>
          <c:order val="2"/>
          <c:tx>
            <c:strRef>
              <c:f>'Sheet 8'!$G$1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40.999999999999943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1-475C-85FF-6114D154B2A5}"/>
            </c:ext>
          </c:extLst>
        </c:ser>
        <c:ser>
          <c:idx val="3"/>
          <c:order val="3"/>
          <c:tx>
            <c:strRef>
              <c:f>'Sheet 8'!$I$1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1-475C-85FF-6114D154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Shafqat Abbas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7'!$F$2:$F$23</c:f>
              <c:numCache>
                <c:formatCode>0</c:formatCode>
                <c:ptCount val="22"/>
                <c:pt idx="0">
                  <c:v>25.999999999999986</c:v>
                </c:pt>
                <c:pt idx="1">
                  <c:v>0</c:v>
                </c:pt>
                <c:pt idx="2">
                  <c:v>0.99999999999999645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69.999999999999986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5.9999999999999787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4-4C3A-A62F-D4F99D086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Shafqat Abbas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7'!$E$1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7'!$E$2:$E$23</c:f>
              <c:numCache>
                <c:formatCode>0</c:formatCode>
                <c:ptCount val="22"/>
                <c:pt idx="0">
                  <c:v>504.00000000000006</c:v>
                </c:pt>
                <c:pt idx="1">
                  <c:v>541.00000000000011</c:v>
                </c:pt>
                <c:pt idx="2">
                  <c:v>0</c:v>
                </c:pt>
                <c:pt idx="3">
                  <c:v>556</c:v>
                </c:pt>
                <c:pt idx="4">
                  <c:v>575</c:v>
                </c:pt>
                <c:pt idx="5">
                  <c:v>547</c:v>
                </c:pt>
                <c:pt idx="6">
                  <c:v>575</c:v>
                </c:pt>
                <c:pt idx="7">
                  <c:v>565</c:v>
                </c:pt>
                <c:pt idx="8">
                  <c:v>516</c:v>
                </c:pt>
                <c:pt idx="9">
                  <c:v>561.00000000000011</c:v>
                </c:pt>
                <c:pt idx="10">
                  <c:v>590.00000000000011</c:v>
                </c:pt>
                <c:pt idx="11">
                  <c:v>568.00000000000011</c:v>
                </c:pt>
                <c:pt idx="12">
                  <c:v>587.00000000000011</c:v>
                </c:pt>
                <c:pt idx="13">
                  <c:v>532</c:v>
                </c:pt>
                <c:pt idx="14">
                  <c:v>588.00000000000011</c:v>
                </c:pt>
                <c:pt idx="15">
                  <c:v>573</c:v>
                </c:pt>
                <c:pt idx="16">
                  <c:v>524</c:v>
                </c:pt>
                <c:pt idx="17">
                  <c:v>461.00000000000006</c:v>
                </c:pt>
                <c:pt idx="18">
                  <c:v>524</c:v>
                </c:pt>
                <c:pt idx="19">
                  <c:v>588</c:v>
                </c:pt>
                <c:pt idx="20">
                  <c:v>641</c:v>
                </c:pt>
                <c:pt idx="21">
                  <c:v>505.99999999999994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A-4ECB-B3DC-278A045F6E79}"/>
            </c:ext>
          </c:extLst>
        </c:ser>
        <c:ser>
          <c:idx val="1"/>
          <c:order val="1"/>
          <c:tx>
            <c:strRef>
              <c:f>'Sheet 7'!$F$1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7'!$F$2:$F$23</c:f>
              <c:numCache>
                <c:formatCode>0</c:formatCode>
                <c:ptCount val="22"/>
                <c:pt idx="0">
                  <c:v>25.999999999999986</c:v>
                </c:pt>
                <c:pt idx="1">
                  <c:v>0</c:v>
                </c:pt>
                <c:pt idx="2">
                  <c:v>0.99999999999999645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69.999999999999986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5.9999999999999787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A-4ECB-B3DC-278A045F6E79}"/>
            </c:ext>
          </c:extLst>
        </c:ser>
        <c:ser>
          <c:idx val="2"/>
          <c:order val="2"/>
          <c:tx>
            <c:strRef>
              <c:f>'Sheet 7'!$G$1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18.999999999999943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A-4ECB-B3DC-278A045F6E79}"/>
            </c:ext>
          </c:extLst>
        </c:ser>
        <c:ser>
          <c:idx val="3"/>
          <c:order val="3"/>
          <c:tx>
            <c:strRef>
              <c:f>'Sheet 7'!$I$1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A-4ECB-B3DC-278A045F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Mubeen Shafqat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6'!$F$2:$F$23</c:f>
              <c:numCache>
                <c:formatCode>0</c:formatCode>
                <c:ptCount val="22"/>
                <c:pt idx="0">
                  <c:v>23.999999999999993</c:v>
                </c:pt>
                <c:pt idx="1">
                  <c:v>0</c:v>
                </c:pt>
                <c:pt idx="2">
                  <c:v>33.999999999999957</c:v>
                </c:pt>
                <c:pt idx="3">
                  <c:v>54.999999999999964</c:v>
                </c:pt>
                <c:pt idx="4">
                  <c:v>27.999999999999979</c:v>
                </c:pt>
                <c:pt idx="5">
                  <c:v>24.999999999999993</c:v>
                </c:pt>
                <c:pt idx="6">
                  <c:v>84.999999999999943</c:v>
                </c:pt>
                <c:pt idx="7">
                  <c:v>35.99999999999995</c:v>
                </c:pt>
                <c:pt idx="8">
                  <c:v>28.999999999999979</c:v>
                </c:pt>
                <c:pt idx="9">
                  <c:v>70.999999999999986</c:v>
                </c:pt>
                <c:pt idx="10">
                  <c:v>0</c:v>
                </c:pt>
                <c:pt idx="11">
                  <c:v>0</c:v>
                </c:pt>
                <c:pt idx="12">
                  <c:v>26.999999999999986</c:v>
                </c:pt>
                <c:pt idx="13">
                  <c:v>18.999999999999932</c:v>
                </c:pt>
                <c:pt idx="14">
                  <c:v>124.99999999999996</c:v>
                </c:pt>
                <c:pt idx="15">
                  <c:v>28.999999999999979</c:v>
                </c:pt>
                <c:pt idx="16">
                  <c:v>42.999999999999929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7B8-AB05-46B3398FAF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Mubeen Shafqat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6'!$E$1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6'!$E$2:$E$23</c:f>
              <c:numCache>
                <c:formatCode>0</c:formatCode>
                <c:ptCount val="22"/>
                <c:pt idx="0">
                  <c:v>518</c:v>
                </c:pt>
                <c:pt idx="1">
                  <c:v>0</c:v>
                </c:pt>
                <c:pt idx="2">
                  <c:v>483.99999999999994</c:v>
                </c:pt>
                <c:pt idx="3">
                  <c:v>487</c:v>
                </c:pt>
                <c:pt idx="4">
                  <c:v>510</c:v>
                </c:pt>
                <c:pt idx="5">
                  <c:v>498.99999999999989</c:v>
                </c:pt>
                <c:pt idx="6">
                  <c:v>482.99999999999994</c:v>
                </c:pt>
                <c:pt idx="7">
                  <c:v>493.00000000000011</c:v>
                </c:pt>
                <c:pt idx="8">
                  <c:v>534.99999999999989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454.99999999999989</c:v>
                </c:pt>
                <c:pt idx="13">
                  <c:v>473.00000000000006</c:v>
                </c:pt>
                <c:pt idx="14">
                  <c:v>428</c:v>
                </c:pt>
                <c:pt idx="15">
                  <c:v>518</c:v>
                </c:pt>
                <c:pt idx="16">
                  <c:v>462.00000000000006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1-4EA4-BED9-F7102F0177B5}"/>
            </c:ext>
          </c:extLst>
        </c:ser>
        <c:ser>
          <c:idx val="1"/>
          <c:order val="1"/>
          <c:tx>
            <c:strRef>
              <c:f>'Sheet 6'!$F$1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6'!$F$2:$F$23</c:f>
              <c:numCache>
                <c:formatCode>0</c:formatCode>
                <c:ptCount val="22"/>
                <c:pt idx="0">
                  <c:v>23.999999999999993</c:v>
                </c:pt>
                <c:pt idx="1">
                  <c:v>0</c:v>
                </c:pt>
                <c:pt idx="2">
                  <c:v>33.999999999999957</c:v>
                </c:pt>
                <c:pt idx="3">
                  <c:v>54.999999999999964</c:v>
                </c:pt>
                <c:pt idx="4">
                  <c:v>27.999999999999979</c:v>
                </c:pt>
                <c:pt idx="5">
                  <c:v>24.999999999999993</c:v>
                </c:pt>
                <c:pt idx="6">
                  <c:v>84.999999999999943</c:v>
                </c:pt>
                <c:pt idx="7">
                  <c:v>35.99999999999995</c:v>
                </c:pt>
                <c:pt idx="8">
                  <c:v>28.999999999999979</c:v>
                </c:pt>
                <c:pt idx="9">
                  <c:v>70.999999999999986</c:v>
                </c:pt>
                <c:pt idx="10">
                  <c:v>0</c:v>
                </c:pt>
                <c:pt idx="11">
                  <c:v>0</c:v>
                </c:pt>
                <c:pt idx="12">
                  <c:v>26.999999999999986</c:v>
                </c:pt>
                <c:pt idx="13">
                  <c:v>18.999999999999932</c:v>
                </c:pt>
                <c:pt idx="14">
                  <c:v>124.99999999999996</c:v>
                </c:pt>
                <c:pt idx="15">
                  <c:v>28.999999999999979</c:v>
                </c:pt>
                <c:pt idx="16">
                  <c:v>42.999999999999929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1-4EA4-BED9-F7102F0177B5}"/>
            </c:ext>
          </c:extLst>
        </c:ser>
        <c:ser>
          <c:idx val="2"/>
          <c:order val="2"/>
          <c:tx>
            <c:strRef>
              <c:f>'Sheet 6'!$G$1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480</c:v>
                </c:pt>
                <c:pt idx="10">
                  <c:v>0</c:v>
                </c:pt>
                <c:pt idx="11">
                  <c:v>0</c:v>
                </c:pt>
                <c:pt idx="12">
                  <c:v>25.000000000000114</c:v>
                </c:pt>
                <c:pt idx="13">
                  <c:v>6.9999999999999432</c:v>
                </c:pt>
                <c:pt idx="14">
                  <c:v>52</c:v>
                </c:pt>
                <c:pt idx="15">
                  <c:v>0</c:v>
                </c:pt>
                <c:pt idx="16">
                  <c:v>17.999999999999943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1-4EA4-BED9-F7102F0177B5}"/>
            </c:ext>
          </c:extLst>
        </c:ser>
        <c:ser>
          <c:idx val="3"/>
          <c:order val="3"/>
          <c:tx>
            <c:strRef>
              <c:f>'Sheet 6'!$I$1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1-4EA4-BED9-F7102F01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Ubaid Ullah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5'!$F$2:$F$23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9.9999999999999645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E-4F99-AF04-05F1984A4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Ubaid Ullah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5'!$E$1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5'!$E$2:$E$23</c:f>
              <c:numCache>
                <c:formatCode>0</c:formatCode>
                <c:ptCount val="22"/>
                <c:pt idx="0">
                  <c:v>499.00000000000006</c:v>
                </c:pt>
                <c:pt idx="1">
                  <c:v>0</c:v>
                </c:pt>
                <c:pt idx="2">
                  <c:v>537.00000000000011</c:v>
                </c:pt>
                <c:pt idx="3">
                  <c:v>534.99999999999989</c:v>
                </c:pt>
                <c:pt idx="4">
                  <c:v>537.99999999999989</c:v>
                </c:pt>
                <c:pt idx="5">
                  <c:v>516</c:v>
                </c:pt>
                <c:pt idx="6">
                  <c:v>498</c:v>
                </c:pt>
                <c:pt idx="7">
                  <c:v>493.99999999999994</c:v>
                </c:pt>
                <c:pt idx="8">
                  <c:v>536</c:v>
                </c:pt>
                <c:pt idx="9">
                  <c:v>562</c:v>
                </c:pt>
                <c:pt idx="10">
                  <c:v>506.00000000000006</c:v>
                </c:pt>
                <c:pt idx="11">
                  <c:v>510</c:v>
                </c:pt>
                <c:pt idx="12">
                  <c:v>536.00000000000011</c:v>
                </c:pt>
                <c:pt idx="13">
                  <c:v>498</c:v>
                </c:pt>
                <c:pt idx="14">
                  <c:v>532.00000000000011</c:v>
                </c:pt>
                <c:pt idx="15">
                  <c:v>486.99999999999994</c:v>
                </c:pt>
                <c:pt idx="16">
                  <c:v>491.99999999999994</c:v>
                </c:pt>
                <c:pt idx="17">
                  <c:v>0</c:v>
                </c:pt>
                <c:pt idx="18">
                  <c:v>496.00000000000006</c:v>
                </c:pt>
                <c:pt idx="19">
                  <c:v>516</c:v>
                </c:pt>
                <c:pt idx="20">
                  <c:v>514</c:v>
                </c:pt>
                <c:pt idx="21">
                  <c:v>473.00000000000006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D-40F4-9F4D-FAE511F0AD8F}"/>
            </c:ext>
          </c:extLst>
        </c:ser>
        <c:ser>
          <c:idx val="1"/>
          <c:order val="1"/>
          <c:tx>
            <c:strRef>
              <c:f>'Sheet 5'!$F$1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9.9999999999999645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D-40F4-9F4D-FAE511F0AD8F}"/>
            </c:ext>
          </c:extLst>
        </c:ser>
        <c:ser>
          <c:idx val="2"/>
          <c:order val="2"/>
          <c:tx>
            <c:strRef>
              <c:f>'Sheet 5'!$G$1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6.9999999999999432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8D-40F4-9F4D-FAE511F0AD8F}"/>
            </c:ext>
          </c:extLst>
        </c:ser>
        <c:ser>
          <c:idx val="3"/>
          <c:order val="3"/>
          <c:tx>
            <c:strRef>
              <c:f>'Sheet 5'!$I$1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8D-40F4-9F4D-FAE511F0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Kamil Maqsood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4'!$F$2:$F$23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A-4774-B656-60DDCF6ED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Kamil Maqsood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4'!$E$1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4'!$E$2:$E$23</c:f>
              <c:numCache>
                <c:formatCode>0</c:formatCode>
                <c:ptCount val="22"/>
                <c:pt idx="0">
                  <c:v>523.00000000000011</c:v>
                </c:pt>
                <c:pt idx="1">
                  <c:v>0</c:v>
                </c:pt>
                <c:pt idx="2">
                  <c:v>478.00000000000006</c:v>
                </c:pt>
                <c:pt idx="3">
                  <c:v>514</c:v>
                </c:pt>
                <c:pt idx="4">
                  <c:v>495.99999999999994</c:v>
                </c:pt>
                <c:pt idx="5">
                  <c:v>505.00000000000006</c:v>
                </c:pt>
                <c:pt idx="6">
                  <c:v>451.99999999999989</c:v>
                </c:pt>
                <c:pt idx="7">
                  <c:v>0</c:v>
                </c:pt>
                <c:pt idx="8">
                  <c:v>535.99999999999989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541</c:v>
                </c:pt>
                <c:pt idx="14">
                  <c:v>485.00000000000006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B-4D22-B9B1-82138962E730}"/>
            </c:ext>
          </c:extLst>
        </c:ser>
        <c:ser>
          <c:idx val="1"/>
          <c:order val="1"/>
          <c:tx>
            <c:strRef>
              <c:f>'Sheet 4'!$F$1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B-4D22-B9B1-82138962E730}"/>
            </c:ext>
          </c:extLst>
        </c:ser>
        <c:ser>
          <c:idx val="2"/>
          <c:order val="2"/>
          <c:tx>
            <c:strRef>
              <c:f>'Sheet 4'!$G$1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1.9999999999999432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28.000000000000114</c:v>
                </c:pt>
                <c:pt idx="7">
                  <c:v>0</c:v>
                </c:pt>
                <c:pt idx="8" formatCode="0">
                  <c:v>0</c:v>
                </c:pt>
                <c:pt idx="9">
                  <c:v>480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B-4D22-B9B1-82138962E730}"/>
            </c:ext>
          </c:extLst>
        </c:ser>
        <c:ser>
          <c:idx val="3"/>
          <c:order val="3"/>
          <c:tx>
            <c:strRef>
              <c:f>'Sheet 4'!$I$1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FB-4D22-B9B1-82138962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Saad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3'!$F$2:$F$23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B-4EB5-B77F-96675F907E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Saad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3'!$E$1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3'!$E$2:$E$23</c:f>
              <c:numCache>
                <c:formatCode>0</c:formatCode>
                <c:ptCount val="22"/>
                <c:pt idx="0">
                  <c:v>523.00000000000011</c:v>
                </c:pt>
                <c:pt idx="1">
                  <c:v>0</c:v>
                </c:pt>
                <c:pt idx="2">
                  <c:v>478.00000000000006</c:v>
                </c:pt>
                <c:pt idx="3">
                  <c:v>514</c:v>
                </c:pt>
                <c:pt idx="4">
                  <c:v>495.99999999999994</c:v>
                </c:pt>
                <c:pt idx="5">
                  <c:v>505.00000000000006</c:v>
                </c:pt>
                <c:pt idx="6">
                  <c:v>451.99999999999989</c:v>
                </c:pt>
                <c:pt idx="7">
                  <c:v>0</c:v>
                </c:pt>
                <c:pt idx="8">
                  <c:v>535.99999999999989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541</c:v>
                </c:pt>
                <c:pt idx="14">
                  <c:v>485.00000000000006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6-4457-BF1A-34632D484660}"/>
            </c:ext>
          </c:extLst>
        </c:ser>
        <c:ser>
          <c:idx val="1"/>
          <c:order val="1"/>
          <c:tx>
            <c:strRef>
              <c:f>'Sheet 3'!$F$1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6-4457-BF1A-34632D484660}"/>
            </c:ext>
          </c:extLst>
        </c:ser>
        <c:ser>
          <c:idx val="2"/>
          <c:order val="2"/>
          <c:tx>
            <c:strRef>
              <c:f>'Sheet 3'!$G$1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1.9999999999999432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28.000000000000114</c:v>
                </c:pt>
                <c:pt idx="7">
                  <c:v>0</c:v>
                </c:pt>
                <c:pt idx="8" formatCode="0">
                  <c:v>0</c:v>
                </c:pt>
                <c:pt idx="9">
                  <c:v>480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6-4457-BF1A-34632D484660}"/>
            </c:ext>
          </c:extLst>
        </c:ser>
        <c:ser>
          <c:idx val="3"/>
          <c:order val="3"/>
          <c:tx>
            <c:strRef>
              <c:f>'Sheet 3'!$I$1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56-4457-BF1A-34632D484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Fahad Mehmood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471.99999999999994</c:v>
                </c:pt>
                <c:pt idx="3">
                  <c:v>0</c:v>
                </c:pt>
                <c:pt idx="4">
                  <c:v>0</c:v>
                </c:pt>
                <c:pt idx="5">
                  <c:v>4.9999999999999822</c:v>
                </c:pt>
                <c:pt idx="6">
                  <c:v>540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30.999999999999972</c:v>
                </c:pt>
                <c:pt idx="15">
                  <c:v>17.999999999999936</c:v>
                </c:pt>
                <c:pt idx="16">
                  <c:v>0</c:v>
                </c:pt>
                <c:pt idx="17">
                  <c:v>13.99999999999995</c:v>
                </c:pt>
                <c:pt idx="18">
                  <c:v>25.999999999999986</c:v>
                </c:pt>
                <c:pt idx="19">
                  <c:v>6.9999999999999751</c:v>
                </c:pt>
                <c:pt idx="20">
                  <c:v>112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0-40D7-9F4A-522EFFB486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Fahad Mehmood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2'!$E$2:$E$23</c:f>
              <c:numCache>
                <c:formatCode>0</c:formatCode>
                <c:ptCount val="22"/>
                <c:pt idx="0">
                  <c:v>621</c:v>
                </c:pt>
                <c:pt idx="1">
                  <c:v>475</c:v>
                </c:pt>
                <c:pt idx="2">
                  <c:v>0</c:v>
                </c:pt>
                <c:pt idx="3">
                  <c:v>557</c:v>
                </c:pt>
                <c:pt idx="4">
                  <c:v>539.00000000000011</c:v>
                </c:pt>
                <c:pt idx="5">
                  <c:v>462.99999999999994</c:v>
                </c:pt>
                <c:pt idx="6">
                  <c:v>0</c:v>
                </c:pt>
                <c:pt idx="7">
                  <c:v>545.00000000000011</c:v>
                </c:pt>
                <c:pt idx="8">
                  <c:v>547</c:v>
                </c:pt>
                <c:pt idx="9">
                  <c:v>502.00000000000006</c:v>
                </c:pt>
                <c:pt idx="10">
                  <c:v>490.99999999999994</c:v>
                </c:pt>
                <c:pt idx="11">
                  <c:v>501.00000000000006</c:v>
                </c:pt>
                <c:pt idx="12">
                  <c:v>486.99999999999994</c:v>
                </c:pt>
                <c:pt idx="13">
                  <c:v>488.00000000000011</c:v>
                </c:pt>
                <c:pt idx="14">
                  <c:v>447.99999999999994</c:v>
                </c:pt>
                <c:pt idx="15">
                  <c:v>448</c:v>
                </c:pt>
                <c:pt idx="16">
                  <c:v>524</c:v>
                </c:pt>
                <c:pt idx="17">
                  <c:v>464.99999999999994</c:v>
                </c:pt>
                <c:pt idx="18">
                  <c:v>522</c:v>
                </c:pt>
                <c:pt idx="19">
                  <c:v>488</c:v>
                </c:pt>
                <c:pt idx="20">
                  <c:v>384</c:v>
                </c:pt>
                <c:pt idx="21">
                  <c:v>489.00000000000011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D-44B8-8BCF-0A845736E13F}"/>
            </c:ext>
          </c:extLst>
        </c:ser>
        <c:ser>
          <c:idx val="1"/>
          <c:order val="1"/>
          <c:tx>
            <c:strRef>
              <c:f>'Sheet 2'!$F$1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471.99999999999994</c:v>
                </c:pt>
                <c:pt idx="3">
                  <c:v>0</c:v>
                </c:pt>
                <c:pt idx="4">
                  <c:v>0</c:v>
                </c:pt>
                <c:pt idx="5">
                  <c:v>4.9999999999999822</c:v>
                </c:pt>
                <c:pt idx="6">
                  <c:v>540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30.999999999999972</c:v>
                </c:pt>
                <c:pt idx="15">
                  <c:v>17.999999999999936</c:v>
                </c:pt>
                <c:pt idx="16">
                  <c:v>0</c:v>
                </c:pt>
                <c:pt idx="17">
                  <c:v>13.99999999999995</c:v>
                </c:pt>
                <c:pt idx="18">
                  <c:v>25.999999999999986</c:v>
                </c:pt>
                <c:pt idx="19">
                  <c:v>6.9999999999999751</c:v>
                </c:pt>
                <c:pt idx="20">
                  <c:v>112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D-44B8-8BCF-0A845736E13F}"/>
            </c:ext>
          </c:extLst>
        </c:ser>
        <c:ser>
          <c:idx val="2"/>
          <c:order val="2"/>
          <c:tx>
            <c:strRef>
              <c:f>'Sheet 2'!$G$1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2'!$G$2:$G$23</c:f>
              <c:numCache>
                <c:formatCode>0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17.000000000000057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32.000000000000057</c:v>
                </c:pt>
                <c:pt idx="15">
                  <c:v>32</c:v>
                </c:pt>
                <c:pt idx="16">
                  <c:v>0</c:v>
                </c:pt>
                <c:pt idx="17">
                  <c:v>15.000000000000057</c:v>
                </c:pt>
                <c:pt idx="18">
                  <c:v>0</c:v>
                </c:pt>
                <c:pt idx="19">
                  <c:v>0</c:v>
                </c:pt>
                <c:pt idx="20">
                  <c:v>96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D-44B8-8BCF-0A845736E13F}"/>
            </c:ext>
          </c:extLst>
        </c:ser>
        <c:ser>
          <c:idx val="3"/>
          <c:order val="3"/>
          <c:tx>
            <c:strRef>
              <c:f>'Sheet 2'!$I$1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2'!$I$2:$I$23</c:f>
              <c:numCache>
                <c:formatCode>General</c:formatCode>
                <c:ptCount val="22"/>
                <c:pt idx="0" formatCode="0">
                  <c:v>480</c:v>
                </c:pt>
                <c:pt idx="1">
                  <c:v>480</c:v>
                </c:pt>
                <c:pt idx="2" formatCode="0">
                  <c:v>480</c:v>
                </c:pt>
                <c:pt idx="3">
                  <c:v>480</c:v>
                </c:pt>
                <c:pt idx="4" formatCode="0">
                  <c:v>480</c:v>
                </c:pt>
                <c:pt idx="5">
                  <c:v>480</c:v>
                </c:pt>
                <c:pt idx="6" formatCode="0">
                  <c:v>480</c:v>
                </c:pt>
                <c:pt idx="7">
                  <c:v>480</c:v>
                </c:pt>
                <c:pt idx="8" formatCode="0">
                  <c:v>480</c:v>
                </c:pt>
                <c:pt idx="9">
                  <c:v>480</c:v>
                </c:pt>
                <c:pt idx="10" formatCode="0">
                  <c:v>480</c:v>
                </c:pt>
                <c:pt idx="11">
                  <c:v>480</c:v>
                </c:pt>
                <c:pt idx="12" formatCode="0">
                  <c:v>480</c:v>
                </c:pt>
                <c:pt idx="13">
                  <c:v>480</c:v>
                </c:pt>
                <c:pt idx="14" formatCode="0">
                  <c:v>480</c:v>
                </c:pt>
                <c:pt idx="15">
                  <c:v>480</c:v>
                </c:pt>
                <c:pt idx="16" formatCode="0">
                  <c:v>480</c:v>
                </c:pt>
                <c:pt idx="17">
                  <c:v>480</c:v>
                </c:pt>
                <c:pt idx="18" formatCode="0">
                  <c:v>480</c:v>
                </c:pt>
                <c:pt idx="19">
                  <c:v>480</c:v>
                </c:pt>
                <c:pt idx="20" formatCode="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1D-44B8-8BCF-0A845736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Jehanzeb Nasir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469.99999999999994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4-473B-9BE2-F68A3FDD2A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1'!$E$2:$E$23</c:f>
              <c:numCache>
                <c:formatCode>General</c:formatCode>
                <c:ptCount val="22"/>
                <c:pt idx="0">
                  <c:v>0</c:v>
                </c:pt>
                <c:pt idx="1">
                  <c:v>482.99999999999994</c:v>
                </c:pt>
                <c:pt idx="2">
                  <c:v>538.99999999999989</c:v>
                </c:pt>
                <c:pt idx="3">
                  <c:v>534.99999999999989</c:v>
                </c:pt>
                <c:pt idx="4">
                  <c:v>548.99999999999989</c:v>
                </c:pt>
                <c:pt idx="5">
                  <c:v>593.99999999999989</c:v>
                </c:pt>
                <c:pt idx="6">
                  <c:v>344</c:v>
                </c:pt>
                <c:pt idx="7">
                  <c:v>544.00000000000011</c:v>
                </c:pt>
                <c:pt idx="8">
                  <c:v>497</c:v>
                </c:pt>
                <c:pt idx="9">
                  <c:v>492.99999999999994</c:v>
                </c:pt>
                <c:pt idx="10">
                  <c:v>496.99999999999989</c:v>
                </c:pt>
                <c:pt idx="11">
                  <c:v>590.00000000000011</c:v>
                </c:pt>
                <c:pt idx="12">
                  <c:v>0</c:v>
                </c:pt>
                <c:pt idx="13">
                  <c:v>554</c:v>
                </c:pt>
                <c:pt idx="14">
                  <c:v>569</c:v>
                </c:pt>
                <c:pt idx="15">
                  <c:v>577</c:v>
                </c:pt>
                <c:pt idx="16">
                  <c:v>0</c:v>
                </c:pt>
                <c:pt idx="17">
                  <c:v>447.99999999999994</c:v>
                </c:pt>
                <c:pt idx="18">
                  <c:v>562</c:v>
                </c:pt>
                <c:pt idx="19">
                  <c:v>547</c:v>
                </c:pt>
                <c:pt idx="20">
                  <c:v>556</c:v>
                </c:pt>
                <c:pt idx="21">
                  <c:v>584.00000000000011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4-4696-9D8D-E378436B324E}"/>
            </c:ext>
          </c:extLst>
        </c:ser>
        <c:ser>
          <c:idx val="1"/>
          <c:order val="1"/>
          <c:tx>
            <c:strRef>
              <c:f>'Sheet 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469.99999999999994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4-4696-9D8D-E378436B324E}"/>
            </c:ext>
          </c:extLst>
        </c:ser>
        <c:ser>
          <c:idx val="2"/>
          <c:order val="2"/>
          <c:tx>
            <c:strRef>
              <c:f>'Sheet 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480</c:v>
                </c:pt>
                <c:pt idx="17">
                  <c:v>32.000000000000057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4-4696-9D8D-E378436B324E}"/>
            </c:ext>
          </c:extLst>
        </c:ser>
        <c:ser>
          <c:idx val="3"/>
          <c:order val="3"/>
          <c:tx>
            <c:strRef>
              <c:f>'Sheet 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4-4696-9D8D-E378436B3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84335"/>
        <c:axId val="615791055"/>
      </c:lineChart>
      <c:catAx>
        <c:axId val="61578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91055"/>
        <c:crosses val="autoZero"/>
        <c:auto val="1"/>
        <c:lblAlgn val="ctr"/>
        <c:lblOffset val="100"/>
        <c:noMultiLvlLbl val="0"/>
      </c:catAx>
      <c:valAx>
        <c:axId val="6157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843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ED724-BD60-40C3-9F05-A2CED7AE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2F77B-8F13-4836-AF2D-BF7EAB992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111578</xdr:rowOff>
    </xdr:from>
    <xdr:to>
      <xdr:col>17</xdr:col>
      <xdr:colOff>306159</xdr:colOff>
      <xdr:row>24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111579</xdr:rowOff>
    </xdr:from>
    <xdr:to>
      <xdr:col>17</xdr:col>
      <xdr:colOff>292552</xdr:colOff>
      <xdr:row>23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10204</xdr:colOff>
      <xdr:row>0</xdr:row>
      <xdr:rowOff>0</xdr:rowOff>
    </xdr:from>
    <xdr:to>
      <xdr:col>17</xdr:col>
      <xdr:colOff>308201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80962</xdr:rowOff>
    </xdr:from>
    <xdr:to>
      <xdr:col>17</xdr:col>
      <xdr:colOff>292552</xdr:colOff>
      <xdr:row>23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97972</xdr:rowOff>
    </xdr:from>
    <xdr:to>
      <xdr:col>17</xdr:col>
      <xdr:colOff>306159</xdr:colOff>
      <xdr:row>23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97971</xdr:rowOff>
    </xdr:from>
    <xdr:to>
      <xdr:col>17</xdr:col>
      <xdr:colOff>292552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111578</xdr:rowOff>
    </xdr:from>
    <xdr:to>
      <xdr:col>17</xdr:col>
      <xdr:colOff>292552</xdr:colOff>
      <xdr:row>24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111578</xdr:rowOff>
    </xdr:from>
    <xdr:to>
      <xdr:col>17</xdr:col>
      <xdr:colOff>306159</xdr:colOff>
      <xdr:row>23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125185</xdr:rowOff>
    </xdr:from>
    <xdr:to>
      <xdr:col>17</xdr:col>
      <xdr:colOff>306159</xdr:colOff>
      <xdr:row>24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111578</xdr:rowOff>
    </xdr:from>
    <xdr:to>
      <xdr:col>17</xdr:col>
      <xdr:colOff>292552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97971</xdr:rowOff>
    </xdr:from>
    <xdr:to>
      <xdr:col>17</xdr:col>
      <xdr:colOff>292552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24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13608</xdr:colOff>
      <xdr:row>13</xdr:row>
      <xdr:rowOff>70757</xdr:rowOff>
    </xdr:from>
    <xdr:to>
      <xdr:col>18</xdr:col>
      <xdr:colOff>278946</xdr:colOff>
      <xdr:row>24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304799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17319</xdr:colOff>
      <xdr:row>13</xdr:row>
      <xdr:rowOff>65810</xdr:rowOff>
    </xdr:from>
    <xdr:to>
      <xdr:col>17</xdr:col>
      <xdr:colOff>346364</xdr:colOff>
      <xdr:row>24</xdr:row>
      <xdr:rowOff>142010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552C-151F-4F2B-A724-C5B35A1F5F64}">
  <dimension ref="A1:J23"/>
  <sheetViews>
    <sheetView zoomScale="70" zoomScaleNormal="70" workbookViewId="0">
      <selection activeCell="A26" sqref="A26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8.71093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293</v>
      </c>
      <c r="B2" s="10" t="s">
        <v>14</v>
      </c>
      <c r="C2" s="14" t="s">
        <v>15</v>
      </c>
      <c r="D2" s="14" t="s">
        <v>16</v>
      </c>
      <c r="E2" s="20">
        <f t="shared" ref="E2:E23" si="0">IF(OR(C2="Absent",D2="Absent",C2="",D2=""),"", (D2-C2)*1440)</f>
        <v>498</v>
      </c>
      <c r="F2" s="20">
        <f>IF(OR(C2="",C2="Absent"),"",
 MAX(0,(C2 - TIME(8,50,0))*1440))</f>
        <v>12.999999999999954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293</v>
      </c>
      <c r="B3" s="12" t="s">
        <v>17</v>
      </c>
      <c r="C3" s="13" t="s">
        <v>18</v>
      </c>
      <c r="D3" s="11" t="s">
        <v>19</v>
      </c>
      <c r="E3" s="1">
        <f t="shared" si="0"/>
        <v>495</v>
      </c>
      <c r="F3" s="1">
        <f>IF(OR(C3="",C3="Absent"),"",
 MAX(0,(C3 - TIME(8,50,0))*1440))</f>
        <v>17.999999999999936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293</v>
      </c>
      <c r="B4" s="10" t="s">
        <v>20</v>
      </c>
      <c r="C4" s="14" t="s">
        <v>21</v>
      </c>
      <c r="D4" s="14" t="s">
        <v>21</v>
      </c>
      <c r="E4" s="20">
        <f t="shared" si="0"/>
        <v>0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293</v>
      </c>
      <c r="B5" s="12" t="s">
        <v>22</v>
      </c>
      <c r="C5" s="13" t="s">
        <v>23</v>
      </c>
      <c r="D5" s="11" t="s">
        <v>24</v>
      </c>
      <c r="E5" s="1">
        <f t="shared" si="0"/>
        <v>485.99999999999994</v>
      </c>
      <c r="F5" s="1">
        <f t="shared" si="1"/>
        <v>23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293</v>
      </c>
      <c r="B6" s="10" t="s">
        <v>25</v>
      </c>
      <c r="C6" s="14" t="s">
        <v>26</v>
      </c>
      <c r="D6" s="14" t="s">
        <v>27</v>
      </c>
      <c r="E6" s="20" t="e">
        <f t="shared" si="0"/>
        <v>#VALUE!</v>
      </c>
      <c r="F6" s="20">
        <f t="shared" si="1"/>
        <v>32.999999999999964</v>
      </c>
      <c r="G6" s="20" t="e">
        <f t="shared" si="2"/>
        <v>#VALUE!</v>
      </c>
      <c r="H6" s="21" t="str">
        <f t="shared" si="3"/>
        <v>Missing</v>
      </c>
      <c r="I6" s="21">
        <v>480</v>
      </c>
    </row>
    <row r="7" spans="1:10" x14ac:dyDescent="0.25">
      <c r="A7" s="12" t="s">
        <v>293</v>
      </c>
      <c r="B7" s="12" t="s">
        <v>28</v>
      </c>
      <c r="C7" s="13" t="s">
        <v>29</v>
      </c>
      <c r="D7" s="11" t="s">
        <v>30</v>
      </c>
      <c r="E7" s="1">
        <f t="shared" si="0"/>
        <v>488</v>
      </c>
      <c r="F7" s="1">
        <f t="shared" si="1"/>
        <v>13.99999999999995</v>
      </c>
      <c r="G7" s="1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293</v>
      </c>
      <c r="B8" s="10" t="s">
        <v>31</v>
      </c>
      <c r="C8" s="14" t="s">
        <v>32</v>
      </c>
      <c r="D8" s="14" t="s">
        <v>33</v>
      </c>
      <c r="E8" s="20">
        <f t="shared" si="0"/>
        <v>495.99999999999994</v>
      </c>
      <c r="F8" s="20">
        <f t="shared" si="1"/>
        <v>27.999999999999979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293</v>
      </c>
      <c r="B9" s="12" t="s">
        <v>34</v>
      </c>
      <c r="C9" s="13" t="s">
        <v>35</v>
      </c>
      <c r="D9" s="11" t="s">
        <v>16</v>
      </c>
      <c r="E9" s="1">
        <f t="shared" si="0"/>
        <v>490</v>
      </c>
      <c r="F9" s="1">
        <f t="shared" si="1"/>
        <v>20.999999999999925</v>
      </c>
      <c r="G9" s="1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293</v>
      </c>
      <c r="B10" s="10" t="s">
        <v>36</v>
      </c>
      <c r="C10" s="14" t="s">
        <v>37</v>
      </c>
      <c r="D10" s="14" t="s">
        <v>16</v>
      </c>
      <c r="E10" s="20">
        <f t="shared" si="0"/>
        <v>496</v>
      </c>
      <c r="F10" s="20">
        <f t="shared" si="1"/>
        <v>14.999999999999947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293</v>
      </c>
      <c r="B11" s="12" t="s">
        <v>38</v>
      </c>
      <c r="C11" s="13" t="s">
        <v>37</v>
      </c>
      <c r="D11" s="11" t="s">
        <v>39</v>
      </c>
      <c r="E11" s="1">
        <f t="shared" si="0"/>
        <v>503.99999999999994</v>
      </c>
      <c r="F11" s="1">
        <f t="shared" si="1"/>
        <v>14.999999999999947</v>
      </c>
      <c r="G11" s="1">
        <f t="shared" si="2"/>
        <v>0</v>
      </c>
      <c r="H11" s="4" t="str">
        <f t="shared" si="3"/>
        <v>Late</v>
      </c>
      <c r="I11" s="5">
        <v>480</v>
      </c>
    </row>
    <row r="12" spans="1:10" x14ac:dyDescent="0.25">
      <c r="A12" s="10" t="s">
        <v>293</v>
      </c>
      <c r="B12" s="10" t="s">
        <v>40</v>
      </c>
      <c r="C12" s="14" t="s">
        <v>41</v>
      </c>
      <c r="D12" s="14" t="s">
        <v>42</v>
      </c>
      <c r="E12" s="20">
        <f t="shared" si="0"/>
        <v>505.00000000000006</v>
      </c>
      <c r="F12" s="20">
        <f t="shared" si="1"/>
        <v>24.999999999999993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293</v>
      </c>
      <c r="B13" s="12" t="s">
        <v>43</v>
      </c>
      <c r="C13" s="13" t="s">
        <v>15</v>
      </c>
      <c r="D13" s="11" t="s">
        <v>44</v>
      </c>
      <c r="E13" s="1">
        <f t="shared" si="0"/>
        <v>524</v>
      </c>
      <c r="F13" s="1">
        <f t="shared" si="1"/>
        <v>12.999999999999954</v>
      </c>
      <c r="G13" s="1">
        <f t="shared" si="2"/>
        <v>0</v>
      </c>
      <c r="H13" s="4" t="str">
        <f t="shared" si="3"/>
        <v>Late</v>
      </c>
      <c r="I13" s="5">
        <v>480</v>
      </c>
    </row>
    <row r="14" spans="1:10" x14ac:dyDescent="0.25">
      <c r="A14" s="10" t="s">
        <v>293</v>
      </c>
      <c r="B14" s="10" t="s">
        <v>45</v>
      </c>
      <c r="C14" s="14" t="s">
        <v>46</v>
      </c>
      <c r="D14" s="14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25">
      <c r="A15" s="12" t="s">
        <v>293</v>
      </c>
      <c r="B15" s="12" t="s">
        <v>47</v>
      </c>
      <c r="C15" s="13" t="s">
        <v>41</v>
      </c>
      <c r="D15" s="11" t="s">
        <v>48</v>
      </c>
      <c r="E15" s="1">
        <f t="shared" si="0"/>
        <v>481.99999999999994</v>
      </c>
      <c r="F15" s="1">
        <f t="shared" si="1"/>
        <v>24.999999999999993</v>
      </c>
      <c r="G15" s="1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293</v>
      </c>
      <c r="B16" s="10" t="s">
        <v>49</v>
      </c>
      <c r="C16" s="14" t="s">
        <v>35</v>
      </c>
      <c r="D16" s="14" t="s">
        <v>27</v>
      </c>
      <c r="E16" s="20" t="e">
        <f t="shared" si="0"/>
        <v>#VALUE!</v>
      </c>
      <c r="F16" s="20">
        <f t="shared" si="1"/>
        <v>20.999999999999925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25">
      <c r="A17" s="12" t="s">
        <v>293</v>
      </c>
      <c r="B17" s="12" t="s">
        <v>50</v>
      </c>
      <c r="C17" s="13" t="s">
        <v>51</v>
      </c>
      <c r="D17" s="11" t="s">
        <v>16</v>
      </c>
      <c r="E17" s="1">
        <f t="shared" si="0"/>
        <v>481.99999999999994</v>
      </c>
      <c r="F17" s="1">
        <f t="shared" si="1"/>
        <v>28.999999999999979</v>
      </c>
      <c r="G17" s="1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293</v>
      </c>
      <c r="B18" s="10" t="s">
        <v>52</v>
      </c>
      <c r="C18" s="14" t="s">
        <v>53</v>
      </c>
      <c r="D18" s="14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25">
      <c r="A19" s="12" t="s">
        <v>293</v>
      </c>
      <c r="B19" s="12" t="s">
        <v>54</v>
      </c>
      <c r="C19" s="13" t="s">
        <v>55</v>
      </c>
      <c r="D19" s="11" t="s">
        <v>56</v>
      </c>
      <c r="E19" s="1">
        <f t="shared" si="0"/>
        <v>517</v>
      </c>
      <c r="F19" s="1">
        <f t="shared" si="1"/>
        <v>33.999999999999957</v>
      </c>
      <c r="G19" s="1">
        <f t="shared" si="2"/>
        <v>0</v>
      </c>
      <c r="H19" s="4" t="str">
        <f t="shared" si="3"/>
        <v>Late</v>
      </c>
      <c r="I19" s="5">
        <v>480</v>
      </c>
    </row>
    <row r="20" spans="1:9" x14ac:dyDescent="0.25">
      <c r="A20" s="10" t="s">
        <v>293</v>
      </c>
      <c r="B20" s="10" t="s">
        <v>57</v>
      </c>
      <c r="C20" s="14" t="s">
        <v>58</v>
      </c>
      <c r="D20" s="14" t="s">
        <v>59</v>
      </c>
      <c r="E20" s="20">
        <f t="shared" si="0"/>
        <v>561</v>
      </c>
      <c r="F20" s="20">
        <f t="shared" si="1"/>
        <v>38.999999999999943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25">
      <c r="A21" s="12" t="s">
        <v>293</v>
      </c>
      <c r="B21" s="12" t="s">
        <v>60</v>
      </c>
      <c r="C21" s="13" t="s">
        <v>61</v>
      </c>
      <c r="D21" s="11" t="s">
        <v>62</v>
      </c>
      <c r="E21" s="1">
        <f t="shared" si="0"/>
        <v>555</v>
      </c>
      <c r="F21" s="1">
        <f t="shared" si="1"/>
        <v>34.999999999999957</v>
      </c>
      <c r="G21" s="1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293</v>
      </c>
      <c r="B22" s="10" t="s">
        <v>63</v>
      </c>
      <c r="C22" s="14" t="s">
        <v>64</v>
      </c>
      <c r="D22" s="14" t="s">
        <v>65</v>
      </c>
      <c r="E22" s="20">
        <f t="shared" si="0"/>
        <v>530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293</v>
      </c>
      <c r="B23" s="12" t="s">
        <v>66</v>
      </c>
      <c r="C23" s="13" t="s">
        <v>67</v>
      </c>
      <c r="D23" s="11" t="s">
        <v>68</v>
      </c>
      <c r="E23" s="1">
        <f t="shared" si="0"/>
        <v>485.99999999999994</v>
      </c>
      <c r="F23" s="1">
        <f t="shared" si="1"/>
        <v>36.99999999999995</v>
      </c>
      <c r="G23" s="1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3"/>
  <sheetViews>
    <sheetView zoomScale="70" zoomScaleNormal="70" workbookViewId="0">
      <selection activeCell="B27" sqref="B27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8.71093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293</v>
      </c>
      <c r="B2" s="10" t="s">
        <v>14</v>
      </c>
      <c r="C2" s="14" t="s">
        <v>15</v>
      </c>
      <c r="D2" s="14" t="s">
        <v>16</v>
      </c>
      <c r="E2" s="20">
        <f t="shared" ref="E2:E23" si="0">IF(OR(C2="Absent",D2="Absent",C2="",D2=""),"", (D2-C2)*1440)</f>
        <v>498</v>
      </c>
      <c r="F2" s="20">
        <f>IF(OR(C2="",C2="Absent"),"",
 MAX(0,(C2 - TIME(8,50,0))*1440))</f>
        <v>12.999999999999954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293</v>
      </c>
      <c r="B3" s="12" t="s">
        <v>17</v>
      </c>
      <c r="C3" s="13" t="s">
        <v>18</v>
      </c>
      <c r="D3" s="11" t="s">
        <v>19</v>
      </c>
      <c r="E3" s="1">
        <f t="shared" si="0"/>
        <v>495</v>
      </c>
      <c r="F3" s="1">
        <f>IF(OR(C3="",C3="Absent"),"",
 MAX(0,(C3 - TIME(8,50,0))*1440))</f>
        <v>17.999999999999936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293</v>
      </c>
      <c r="B4" s="10" t="s">
        <v>20</v>
      </c>
      <c r="C4" s="14" t="s">
        <v>21</v>
      </c>
      <c r="D4" s="14" t="s">
        <v>21</v>
      </c>
      <c r="E4" s="20">
        <f t="shared" si="0"/>
        <v>0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293</v>
      </c>
      <c r="B5" s="12" t="s">
        <v>22</v>
      </c>
      <c r="C5" s="13" t="s">
        <v>23</v>
      </c>
      <c r="D5" s="11" t="s">
        <v>24</v>
      </c>
      <c r="E5" s="1">
        <f t="shared" si="0"/>
        <v>485.99999999999994</v>
      </c>
      <c r="F5" s="1">
        <f t="shared" si="1"/>
        <v>23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293</v>
      </c>
      <c r="B6" s="10" t="s">
        <v>25</v>
      </c>
      <c r="C6" s="14" t="s">
        <v>26</v>
      </c>
      <c r="D6" s="14" t="s">
        <v>27</v>
      </c>
      <c r="E6" s="20" t="e">
        <f t="shared" si="0"/>
        <v>#VALUE!</v>
      </c>
      <c r="F6" s="20">
        <f t="shared" si="1"/>
        <v>32.999999999999964</v>
      </c>
      <c r="G6" s="20" t="e">
        <f t="shared" si="2"/>
        <v>#VALUE!</v>
      </c>
      <c r="H6" s="21" t="str">
        <f t="shared" si="3"/>
        <v>Missing</v>
      </c>
      <c r="I6" s="21">
        <v>480</v>
      </c>
    </row>
    <row r="7" spans="1:10" x14ac:dyDescent="0.25">
      <c r="A7" s="12" t="s">
        <v>293</v>
      </c>
      <c r="B7" s="12" t="s">
        <v>28</v>
      </c>
      <c r="C7" s="13" t="s">
        <v>29</v>
      </c>
      <c r="D7" s="11" t="s">
        <v>30</v>
      </c>
      <c r="E7" s="1">
        <f t="shared" si="0"/>
        <v>488</v>
      </c>
      <c r="F7" s="1">
        <f t="shared" si="1"/>
        <v>13.99999999999995</v>
      </c>
      <c r="G7" s="1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293</v>
      </c>
      <c r="B8" s="10" t="s">
        <v>31</v>
      </c>
      <c r="C8" s="14" t="s">
        <v>32</v>
      </c>
      <c r="D8" s="14" t="s">
        <v>33</v>
      </c>
      <c r="E8" s="20">
        <f t="shared" si="0"/>
        <v>495.99999999999994</v>
      </c>
      <c r="F8" s="20">
        <f t="shared" si="1"/>
        <v>27.999999999999979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293</v>
      </c>
      <c r="B9" s="12" t="s">
        <v>34</v>
      </c>
      <c r="C9" s="13" t="s">
        <v>35</v>
      </c>
      <c r="D9" s="11" t="s">
        <v>16</v>
      </c>
      <c r="E9" s="1">
        <f t="shared" si="0"/>
        <v>490</v>
      </c>
      <c r="F9" s="1">
        <f t="shared" si="1"/>
        <v>20.999999999999925</v>
      </c>
      <c r="G9" s="1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293</v>
      </c>
      <c r="B10" s="10" t="s">
        <v>36</v>
      </c>
      <c r="C10" s="14" t="s">
        <v>37</v>
      </c>
      <c r="D10" s="14" t="s">
        <v>16</v>
      </c>
      <c r="E10" s="20">
        <f t="shared" si="0"/>
        <v>496</v>
      </c>
      <c r="F10" s="20">
        <f t="shared" si="1"/>
        <v>14.999999999999947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293</v>
      </c>
      <c r="B11" s="12" t="s">
        <v>38</v>
      </c>
      <c r="C11" s="13" t="s">
        <v>37</v>
      </c>
      <c r="D11" s="11" t="s">
        <v>39</v>
      </c>
      <c r="E11" s="1">
        <f t="shared" si="0"/>
        <v>503.99999999999994</v>
      </c>
      <c r="F11" s="1">
        <f t="shared" si="1"/>
        <v>14.999999999999947</v>
      </c>
      <c r="G11" s="1">
        <f t="shared" si="2"/>
        <v>0</v>
      </c>
      <c r="H11" s="4" t="str">
        <f t="shared" si="3"/>
        <v>Late</v>
      </c>
      <c r="I11" s="5">
        <v>480</v>
      </c>
    </row>
    <row r="12" spans="1:10" x14ac:dyDescent="0.25">
      <c r="A12" s="10" t="s">
        <v>293</v>
      </c>
      <c r="B12" s="10" t="s">
        <v>40</v>
      </c>
      <c r="C12" s="14" t="s">
        <v>41</v>
      </c>
      <c r="D12" s="14" t="s">
        <v>42</v>
      </c>
      <c r="E12" s="20">
        <f t="shared" si="0"/>
        <v>505.00000000000006</v>
      </c>
      <c r="F12" s="20">
        <f t="shared" si="1"/>
        <v>24.999999999999993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293</v>
      </c>
      <c r="B13" s="12" t="s">
        <v>43</v>
      </c>
      <c r="C13" s="13" t="s">
        <v>15</v>
      </c>
      <c r="D13" s="11" t="s">
        <v>44</v>
      </c>
      <c r="E13" s="1">
        <f t="shared" si="0"/>
        <v>524</v>
      </c>
      <c r="F13" s="1">
        <f t="shared" si="1"/>
        <v>12.999999999999954</v>
      </c>
      <c r="G13" s="1">
        <f t="shared" si="2"/>
        <v>0</v>
      </c>
      <c r="H13" s="4" t="str">
        <f t="shared" si="3"/>
        <v>Late</v>
      </c>
      <c r="I13" s="5">
        <v>480</v>
      </c>
    </row>
    <row r="14" spans="1:10" x14ac:dyDescent="0.25">
      <c r="A14" s="10" t="s">
        <v>293</v>
      </c>
      <c r="B14" s="10" t="s">
        <v>45</v>
      </c>
      <c r="C14" s="14" t="s">
        <v>46</v>
      </c>
      <c r="D14" s="14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25">
      <c r="A15" s="12" t="s">
        <v>293</v>
      </c>
      <c r="B15" s="12" t="s">
        <v>47</v>
      </c>
      <c r="C15" s="13" t="s">
        <v>41</v>
      </c>
      <c r="D15" s="11" t="s">
        <v>48</v>
      </c>
      <c r="E15" s="1">
        <f t="shared" si="0"/>
        <v>481.99999999999994</v>
      </c>
      <c r="F15" s="1">
        <f t="shared" si="1"/>
        <v>24.999999999999993</v>
      </c>
      <c r="G15" s="1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293</v>
      </c>
      <c r="B16" s="10" t="s">
        <v>49</v>
      </c>
      <c r="C16" s="14" t="s">
        <v>35</v>
      </c>
      <c r="D16" s="14" t="s">
        <v>27</v>
      </c>
      <c r="E16" s="20" t="e">
        <f t="shared" si="0"/>
        <v>#VALUE!</v>
      </c>
      <c r="F16" s="20">
        <f t="shared" si="1"/>
        <v>20.999999999999925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25">
      <c r="A17" s="12" t="s">
        <v>293</v>
      </c>
      <c r="B17" s="12" t="s">
        <v>50</v>
      </c>
      <c r="C17" s="13" t="s">
        <v>51</v>
      </c>
      <c r="D17" s="11" t="s">
        <v>16</v>
      </c>
      <c r="E17" s="1">
        <f t="shared" si="0"/>
        <v>481.99999999999994</v>
      </c>
      <c r="F17" s="1">
        <f t="shared" si="1"/>
        <v>28.999999999999979</v>
      </c>
      <c r="G17" s="1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293</v>
      </c>
      <c r="B18" s="10" t="s">
        <v>52</v>
      </c>
      <c r="C18" s="14" t="s">
        <v>53</v>
      </c>
      <c r="D18" s="14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25">
      <c r="A19" s="12" t="s">
        <v>293</v>
      </c>
      <c r="B19" s="12" t="s">
        <v>54</v>
      </c>
      <c r="C19" s="13" t="s">
        <v>55</v>
      </c>
      <c r="D19" s="11" t="s">
        <v>56</v>
      </c>
      <c r="E19" s="1">
        <f t="shared" si="0"/>
        <v>517</v>
      </c>
      <c r="F19" s="1">
        <f t="shared" si="1"/>
        <v>33.999999999999957</v>
      </c>
      <c r="G19" s="1">
        <f t="shared" si="2"/>
        <v>0</v>
      </c>
      <c r="H19" s="4" t="str">
        <f t="shared" si="3"/>
        <v>Late</v>
      </c>
      <c r="I19" s="5">
        <v>480</v>
      </c>
    </row>
    <row r="20" spans="1:9" x14ac:dyDescent="0.25">
      <c r="A20" s="10" t="s">
        <v>293</v>
      </c>
      <c r="B20" s="10" t="s">
        <v>57</v>
      </c>
      <c r="C20" s="14" t="s">
        <v>58</v>
      </c>
      <c r="D20" s="14" t="s">
        <v>59</v>
      </c>
      <c r="E20" s="20">
        <f t="shared" si="0"/>
        <v>561</v>
      </c>
      <c r="F20" s="20">
        <f t="shared" si="1"/>
        <v>38.999999999999943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25">
      <c r="A21" s="12" t="s">
        <v>293</v>
      </c>
      <c r="B21" s="12" t="s">
        <v>60</v>
      </c>
      <c r="C21" s="13" t="s">
        <v>61</v>
      </c>
      <c r="D21" s="11" t="s">
        <v>62</v>
      </c>
      <c r="E21" s="1">
        <f t="shared" si="0"/>
        <v>555</v>
      </c>
      <c r="F21" s="1">
        <f t="shared" si="1"/>
        <v>34.999999999999957</v>
      </c>
      <c r="G21" s="1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293</v>
      </c>
      <c r="B22" s="10" t="s">
        <v>63</v>
      </c>
      <c r="C22" s="14" t="s">
        <v>64</v>
      </c>
      <c r="D22" s="14" t="s">
        <v>65</v>
      </c>
      <c r="E22" s="20">
        <f t="shared" si="0"/>
        <v>530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293</v>
      </c>
      <c r="B23" s="12" t="s">
        <v>66</v>
      </c>
      <c r="C23" s="13" t="s">
        <v>67</v>
      </c>
      <c r="D23" s="11" t="s">
        <v>68</v>
      </c>
      <c r="E23" s="1">
        <f t="shared" si="0"/>
        <v>485.99999999999994</v>
      </c>
      <c r="F23" s="1">
        <f t="shared" si="1"/>
        <v>36.99999999999995</v>
      </c>
      <c r="G23" s="1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2.425781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292</v>
      </c>
      <c r="B2" s="10" t="s">
        <v>14</v>
      </c>
      <c r="C2" s="10" t="s">
        <v>69</v>
      </c>
      <c r="D2" s="10" t="s">
        <v>70</v>
      </c>
      <c r="E2" s="20">
        <f t="shared" ref="E2:E23" si="0">IF(OR(C2="Absent",D2="Absent",C2="",D2=""),"", (D2-C2)*1440)</f>
        <v>454</v>
      </c>
      <c r="F2" s="20">
        <f>IF(OR(C2="",C2="Absent"),"",
 MAX(0,(C2 - TIME(8,50,0))*1440))</f>
        <v>10.999999999999961</v>
      </c>
      <c r="G2" s="20">
        <f>IF(C2="","",
 MAX(0,480 - E2))</f>
        <v>26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292</v>
      </c>
      <c r="B3" s="12" t="s">
        <v>17</v>
      </c>
      <c r="C3" s="12" t="s">
        <v>71</v>
      </c>
      <c r="D3" s="12" t="s">
        <v>72</v>
      </c>
      <c r="E3" s="1">
        <f t="shared" si="0"/>
        <v>488</v>
      </c>
      <c r="F3">
        <f>IF(OR(C3="",C3="Absent"),"",
 MAX(0,(C3 - TIME(8,50,0))*1440))</f>
        <v>0</v>
      </c>
      <c r="G3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25">
      <c r="A4" s="10" t="s">
        <v>292</v>
      </c>
      <c r="B4" s="10" t="s">
        <v>20</v>
      </c>
      <c r="C4" s="10" t="s">
        <v>73</v>
      </c>
      <c r="D4" s="10" t="s">
        <v>73</v>
      </c>
      <c r="E4" s="20">
        <f t="shared" si="0"/>
        <v>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292</v>
      </c>
      <c r="B5" s="12" t="s">
        <v>22</v>
      </c>
      <c r="C5" s="12" t="s">
        <v>74</v>
      </c>
      <c r="D5" s="12" t="s">
        <v>75</v>
      </c>
      <c r="E5" s="1">
        <f t="shared" si="0"/>
        <v>494.00000000000006</v>
      </c>
      <c r="F5">
        <f t="shared" si="1"/>
        <v>0</v>
      </c>
      <c r="G5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292</v>
      </c>
      <c r="B6" s="10" t="s">
        <v>25</v>
      </c>
      <c r="C6" s="10" t="s">
        <v>73</v>
      </c>
      <c r="D6" s="10" t="s">
        <v>76</v>
      </c>
      <c r="E6" s="20">
        <f t="shared" si="0"/>
        <v>479</v>
      </c>
      <c r="F6" s="20">
        <f t="shared" si="1"/>
        <v>0</v>
      </c>
      <c r="G6" s="20">
        <f t="shared" si="2"/>
        <v>1</v>
      </c>
      <c r="H6" s="21" t="str">
        <f t="shared" si="3"/>
        <v>Late</v>
      </c>
      <c r="I6" s="21">
        <v>480</v>
      </c>
    </row>
    <row r="7" spans="1:10" x14ac:dyDescent="0.25">
      <c r="A7" s="12" t="s">
        <v>292</v>
      </c>
      <c r="B7" s="12" t="s">
        <v>28</v>
      </c>
      <c r="C7" s="12" t="s">
        <v>73</v>
      </c>
      <c r="D7" s="12" t="s">
        <v>77</v>
      </c>
      <c r="E7" s="1">
        <f t="shared" si="0"/>
        <v>480.99999999999994</v>
      </c>
      <c r="F7">
        <f t="shared" si="1"/>
        <v>0</v>
      </c>
      <c r="G7">
        <f t="shared" si="2"/>
        <v>0</v>
      </c>
      <c r="H7" s="4" t="str">
        <f t="shared" si="3"/>
        <v>On Time</v>
      </c>
      <c r="I7" s="5">
        <v>480</v>
      </c>
    </row>
    <row r="8" spans="1:10" x14ac:dyDescent="0.25">
      <c r="A8" s="10" t="s">
        <v>292</v>
      </c>
      <c r="B8" s="10" t="s">
        <v>31</v>
      </c>
      <c r="C8" s="10" t="s">
        <v>78</v>
      </c>
      <c r="D8" s="10" t="s">
        <v>79</v>
      </c>
      <c r="E8" s="20">
        <f t="shared" si="0"/>
        <v>483.99999999999994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25">
      <c r="A9" s="12" t="s">
        <v>292</v>
      </c>
      <c r="B9" s="12" t="s">
        <v>34</v>
      </c>
      <c r="C9" s="12" t="s">
        <v>74</v>
      </c>
      <c r="D9" s="12" t="s">
        <v>80</v>
      </c>
      <c r="E9" s="1">
        <f t="shared" si="0"/>
        <v>484.99999999999994</v>
      </c>
      <c r="F9">
        <f t="shared" si="1"/>
        <v>0</v>
      </c>
      <c r="G9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292</v>
      </c>
      <c r="B10" s="10" t="s">
        <v>36</v>
      </c>
      <c r="C10" s="10" t="s">
        <v>74</v>
      </c>
      <c r="D10" s="10" t="s">
        <v>81</v>
      </c>
      <c r="E10" s="20">
        <f t="shared" si="0"/>
        <v>473</v>
      </c>
      <c r="F10" s="20">
        <f t="shared" si="1"/>
        <v>0</v>
      </c>
      <c r="G10" s="20">
        <f t="shared" si="2"/>
        <v>7</v>
      </c>
      <c r="H10" s="21" t="str">
        <f t="shared" si="3"/>
        <v>Late</v>
      </c>
      <c r="I10" s="21">
        <v>480</v>
      </c>
    </row>
    <row r="11" spans="1:10" x14ac:dyDescent="0.25">
      <c r="A11" s="12" t="s">
        <v>292</v>
      </c>
      <c r="B11" s="12" t="s">
        <v>38</v>
      </c>
      <c r="C11" s="12" t="s">
        <v>74</v>
      </c>
      <c r="D11" s="12" t="s">
        <v>80</v>
      </c>
      <c r="E11" s="1">
        <f t="shared" si="0"/>
        <v>484.99999999999994</v>
      </c>
      <c r="F11">
        <f t="shared" si="1"/>
        <v>0</v>
      </c>
      <c r="G11">
        <f t="shared" si="2"/>
        <v>0</v>
      </c>
      <c r="H11" s="4" t="str">
        <f t="shared" si="3"/>
        <v>On Time</v>
      </c>
      <c r="I11" s="5">
        <v>480</v>
      </c>
    </row>
    <row r="12" spans="1:10" x14ac:dyDescent="0.25">
      <c r="A12" s="10" t="s">
        <v>292</v>
      </c>
      <c r="B12" s="10" t="s">
        <v>40</v>
      </c>
      <c r="C12" s="10" t="s">
        <v>71</v>
      </c>
      <c r="D12" s="10" t="s">
        <v>81</v>
      </c>
      <c r="E12" s="20">
        <f t="shared" si="0"/>
        <v>468.99999999999994</v>
      </c>
      <c r="F12" s="20">
        <f t="shared" si="1"/>
        <v>0</v>
      </c>
      <c r="G12" s="20">
        <f t="shared" si="2"/>
        <v>11.000000000000057</v>
      </c>
      <c r="H12" s="21" t="str">
        <f t="shared" si="3"/>
        <v>Late</v>
      </c>
      <c r="I12" s="21">
        <v>480</v>
      </c>
    </row>
    <row r="13" spans="1:10" x14ac:dyDescent="0.25">
      <c r="A13" s="12" t="s">
        <v>292</v>
      </c>
      <c r="B13" s="12" t="s">
        <v>43</v>
      </c>
      <c r="C13" s="12" t="s">
        <v>82</v>
      </c>
      <c r="D13" s="12" t="s">
        <v>83</v>
      </c>
      <c r="E13" s="1">
        <f t="shared" si="0"/>
        <v>462.99999999999994</v>
      </c>
      <c r="F13">
        <f t="shared" si="1"/>
        <v>0</v>
      </c>
      <c r="G13">
        <f t="shared" si="2"/>
        <v>17.000000000000057</v>
      </c>
      <c r="H13" s="4" t="str">
        <f t="shared" si="3"/>
        <v>Late</v>
      </c>
      <c r="I13" s="5">
        <v>480</v>
      </c>
    </row>
    <row r="14" spans="1:10" x14ac:dyDescent="0.25">
      <c r="A14" s="10" t="s">
        <v>292</v>
      </c>
      <c r="B14" s="10" t="s">
        <v>45</v>
      </c>
      <c r="C14" s="10" t="s">
        <v>84</v>
      </c>
      <c r="D14" s="10" t="s">
        <v>85</v>
      </c>
      <c r="E14" s="20">
        <f t="shared" si="0"/>
        <v>470.99999999999994</v>
      </c>
      <c r="F14" s="20">
        <f t="shared" si="1"/>
        <v>1.9999999999999929</v>
      </c>
      <c r="G14" s="20">
        <f t="shared" si="2"/>
        <v>9.0000000000000568</v>
      </c>
      <c r="H14" s="21" t="str">
        <f t="shared" si="3"/>
        <v>Late</v>
      </c>
      <c r="I14" s="21">
        <v>480</v>
      </c>
    </row>
    <row r="15" spans="1:10" x14ac:dyDescent="0.25">
      <c r="A15" s="12" t="s">
        <v>292</v>
      </c>
      <c r="B15" s="12" t="s">
        <v>47</v>
      </c>
      <c r="C15" s="12" t="s">
        <v>86</v>
      </c>
      <c r="D15" s="12" t="s">
        <v>87</v>
      </c>
      <c r="E15" s="1">
        <f t="shared" si="0"/>
        <v>472.99999999999994</v>
      </c>
      <c r="F15">
        <f t="shared" si="1"/>
        <v>0.99999999999999645</v>
      </c>
      <c r="G15">
        <f t="shared" si="2"/>
        <v>7.0000000000000568</v>
      </c>
      <c r="H15" s="4" t="str">
        <f t="shared" si="3"/>
        <v>Late</v>
      </c>
      <c r="I15" s="5">
        <v>480</v>
      </c>
    </row>
    <row r="16" spans="1:10" x14ac:dyDescent="0.25">
      <c r="A16" s="10" t="s">
        <v>292</v>
      </c>
      <c r="B16" s="10" t="s">
        <v>49</v>
      </c>
      <c r="C16" s="10" t="s">
        <v>82</v>
      </c>
      <c r="D16" s="10" t="s">
        <v>88</v>
      </c>
      <c r="E16" s="20">
        <f t="shared" si="0"/>
        <v>483.00000000000006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25">
      <c r="A17" s="12" t="s">
        <v>292</v>
      </c>
      <c r="B17" s="12" t="s">
        <v>50</v>
      </c>
      <c r="C17" s="12" t="s">
        <v>86</v>
      </c>
      <c r="D17" s="12" t="s">
        <v>89</v>
      </c>
      <c r="E17" s="1">
        <f t="shared" si="0"/>
        <v>467.99999999999994</v>
      </c>
      <c r="F17">
        <f t="shared" si="1"/>
        <v>0.99999999999999645</v>
      </c>
      <c r="G17">
        <f t="shared" si="2"/>
        <v>12.000000000000057</v>
      </c>
      <c r="H17" s="4" t="str">
        <f t="shared" si="3"/>
        <v>Late</v>
      </c>
      <c r="I17" s="5">
        <v>480</v>
      </c>
    </row>
    <row r="18" spans="1:9" x14ac:dyDescent="0.25">
      <c r="A18" s="10" t="s">
        <v>292</v>
      </c>
      <c r="B18" s="10" t="s">
        <v>52</v>
      </c>
      <c r="C18" s="10" t="s">
        <v>90</v>
      </c>
      <c r="D18" s="10" t="s">
        <v>91</v>
      </c>
      <c r="E18" s="20">
        <f t="shared" si="0"/>
        <v>461.99999999999994</v>
      </c>
      <c r="F18" s="20">
        <f t="shared" si="1"/>
        <v>4.9999999999999822</v>
      </c>
      <c r="G18" s="20">
        <f t="shared" si="2"/>
        <v>18.000000000000057</v>
      </c>
      <c r="H18" s="21" t="str">
        <f t="shared" si="3"/>
        <v>Late</v>
      </c>
      <c r="I18" s="21">
        <v>480</v>
      </c>
    </row>
    <row r="19" spans="1:9" x14ac:dyDescent="0.25">
      <c r="A19" s="12" t="s">
        <v>292</v>
      </c>
      <c r="B19" s="12" t="s">
        <v>54</v>
      </c>
      <c r="C19" s="12" t="s">
        <v>92</v>
      </c>
      <c r="D19" s="12" t="s">
        <v>93</v>
      </c>
      <c r="E19" s="1">
        <f t="shared" si="0"/>
        <v>481.99999999999994</v>
      </c>
      <c r="F19">
        <f t="shared" si="1"/>
        <v>0</v>
      </c>
      <c r="G19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292</v>
      </c>
      <c r="B20" s="10" t="s">
        <v>57</v>
      </c>
      <c r="C20" s="10" t="s">
        <v>94</v>
      </c>
      <c r="D20" s="10" t="s">
        <v>85</v>
      </c>
      <c r="E20" s="20">
        <f t="shared" si="0"/>
        <v>476</v>
      </c>
      <c r="F20" s="20">
        <f t="shared" si="1"/>
        <v>0</v>
      </c>
      <c r="G20" s="20">
        <f t="shared" si="2"/>
        <v>4</v>
      </c>
      <c r="H20" s="21" t="str">
        <f t="shared" si="3"/>
        <v>Late</v>
      </c>
      <c r="I20" s="21">
        <v>480</v>
      </c>
    </row>
    <row r="21" spans="1:9" x14ac:dyDescent="0.25">
      <c r="A21" s="12" t="s">
        <v>292</v>
      </c>
      <c r="B21" s="12" t="s">
        <v>60</v>
      </c>
      <c r="C21" s="12" t="s">
        <v>95</v>
      </c>
      <c r="D21" s="12" t="s">
        <v>91</v>
      </c>
      <c r="E21" s="1">
        <f t="shared" si="0"/>
        <v>481.99999999999994</v>
      </c>
      <c r="F21">
        <f t="shared" si="1"/>
        <v>0</v>
      </c>
      <c r="G21">
        <f t="shared" si="2"/>
        <v>0</v>
      </c>
      <c r="H21" s="4" t="str">
        <f t="shared" si="3"/>
        <v>On Time</v>
      </c>
      <c r="I21" s="5">
        <v>480</v>
      </c>
    </row>
    <row r="22" spans="1:9" x14ac:dyDescent="0.25">
      <c r="A22" s="10" t="s">
        <v>292</v>
      </c>
      <c r="B22" s="10" t="s">
        <v>63</v>
      </c>
      <c r="C22" s="10" t="s">
        <v>82</v>
      </c>
      <c r="D22" s="10" t="s">
        <v>81</v>
      </c>
      <c r="E22" s="20">
        <f t="shared" si="0"/>
        <v>467.99999999999994</v>
      </c>
      <c r="F22" s="20">
        <f t="shared" si="1"/>
        <v>0</v>
      </c>
      <c r="G22" s="20">
        <f t="shared" si="2"/>
        <v>12.000000000000057</v>
      </c>
      <c r="H22" s="21" t="str">
        <f t="shared" si="3"/>
        <v>Late</v>
      </c>
      <c r="I22" s="21">
        <v>480</v>
      </c>
    </row>
    <row r="23" spans="1:9" x14ac:dyDescent="0.25">
      <c r="A23" s="12" t="s">
        <v>292</v>
      </c>
      <c r="B23" s="12" t="s">
        <v>66</v>
      </c>
      <c r="C23" s="12" t="s">
        <v>84</v>
      </c>
      <c r="D23" s="12" t="s">
        <v>96</v>
      </c>
      <c r="E23" s="1">
        <f t="shared" si="0"/>
        <v>461.99999999999994</v>
      </c>
      <c r="F23">
        <f t="shared" si="1"/>
        <v>1.9999999999999929</v>
      </c>
      <c r="G23">
        <f t="shared" si="2"/>
        <v>18.000000000000057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1.57031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291</v>
      </c>
      <c r="B2" s="10" t="s">
        <v>14</v>
      </c>
      <c r="C2" s="10" t="s">
        <v>61</v>
      </c>
      <c r="D2" s="10" t="s">
        <v>16</v>
      </c>
      <c r="E2" s="20">
        <f t="shared" ref="E2:E23" si="0">IF(OR(C2="Absent",D2="Absent",C2="",D2=""),"", (D2-C2)*1440)</f>
        <v>476</v>
      </c>
      <c r="F2" s="20">
        <f>IF(OR(C2="",C2="Absent"),"",
 MAX(0,(C2 - TIME(8,50,0))*1440))</f>
        <v>34.999999999999957</v>
      </c>
      <c r="G2" s="20">
        <f>IF(C2="","",
 MAX(0,480 - E2))</f>
        <v>4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291</v>
      </c>
      <c r="B3" s="12" t="s">
        <v>17</v>
      </c>
      <c r="C3" s="12" t="s">
        <v>41</v>
      </c>
      <c r="D3" s="12" t="s">
        <v>19</v>
      </c>
      <c r="E3" s="1">
        <f t="shared" si="0"/>
        <v>487.99999999999994</v>
      </c>
      <c r="F3" s="4">
        <f>IF(OR(C3="",C3="Absent"),"",
 MAX(0,(C3 - TIME(8,50,0))*1440))</f>
        <v>24.999999999999993</v>
      </c>
      <c r="G3" s="2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291</v>
      </c>
      <c r="B4" s="10" t="s">
        <v>20</v>
      </c>
      <c r="C4" s="10" t="s">
        <v>82</v>
      </c>
      <c r="D4" s="10" t="s">
        <v>82</v>
      </c>
      <c r="E4" s="20">
        <f t="shared" si="0"/>
        <v>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291</v>
      </c>
      <c r="B5" s="12" t="s">
        <v>22</v>
      </c>
      <c r="C5" s="12" t="s">
        <v>18</v>
      </c>
      <c r="D5" s="12" t="s">
        <v>24</v>
      </c>
      <c r="E5" s="1">
        <f t="shared" si="0"/>
        <v>491</v>
      </c>
      <c r="F5" s="4">
        <f t="shared" si="1"/>
        <v>17.999999999999936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291</v>
      </c>
      <c r="B6" s="10" t="s">
        <v>25</v>
      </c>
      <c r="C6" s="10" t="s">
        <v>21</v>
      </c>
      <c r="D6" s="10" t="s">
        <v>97</v>
      </c>
      <c r="E6" s="20">
        <f t="shared" si="0"/>
        <v>497.99999999999989</v>
      </c>
      <c r="F6" s="20">
        <f t="shared" si="1"/>
        <v>23.999999999999993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291</v>
      </c>
      <c r="B7" s="12" t="s">
        <v>28</v>
      </c>
      <c r="C7" s="12" t="s">
        <v>18</v>
      </c>
      <c r="D7" s="12" t="s">
        <v>30</v>
      </c>
      <c r="E7" s="1">
        <f t="shared" si="0"/>
        <v>484.00000000000006</v>
      </c>
      <c r="F7" s="4">
        <f t="shared" si="1"/>
        <v>17.999999999999936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291</v>
      </c>
      <c r="B8" s="10" t="s">
        <v>31</v>
      </c>
      <c r="C8" s="10" t="s">
        <v>98</v>
      </c>
      <c r="D8" s="10" t="s">
        <v>33</v>
      </c>
      <c r="E8" s="20">
        <f t="shared" si="0"/>
        <v>506.99999999999994</v>
      </c>
      <c r="F8" s="20">
        <f t="shared" si="1"/>
        <v>16.99999999999994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291</v>
      </c>
      <c r="B9" s="12" t="s">
        <v>34</v>
      </c>
      <c r="C9" s="12" t="s">
        <v>37</v>
      </c>
      <c r="D9" s="12" t="s">
        <v>24</v>
      </c>
      <c r="E9" s="1">
        <f t="shared" si="0"/>
        <v>494</v>
      </c>
      <c r="F9" s="4">
        <f t="shared" si="1"/>
        <v>14.999999999999947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291</v>
      </c>
      <c r="B10" s="10" t="s">
        <v>36</v>
      </c>
      <c r="C10" s="10" t="s">
        <v>69</v>
      </c>
      <c r="D10" s="10" t="s">
        <v>16</v>
      </c>
      <c r="E10" s="20">
        <f t="shared" si="0"/>
        <v>500</v>
      </c>
      <c r="F10" s="20">
        <f t="shared" si="1"/>
        <v>10.999999999999961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291</v>
      </c>
      <c r="B11" s="12" t="s">
        <v>38</v>
      </c>
      <c r="C11" s="12" t="s">
        <v>99</v>
      </c>
      <c r="D11" s="12" t="s">
        <v>27</v>
      </c>
      <c r="E11" s="1" t="e">
        <f t="shared" si="0"/>
        <v>#VALUE!</v>
      </c>
      <c r="F11" s="4">
        <f t="shared" si="1"/>
        <v>64.999999999999929</v>
      </c>
      <c r="G11" s="2" t="e">
        <f t="shared" si="2"/>
        <v>#VALUE!</v>
      </c>
      <c r="H11" s="4" t="str">
        <f t="shared" si="3"/>
        <v>Missing</v>
      </c>
      <c r="I11" s="5">
        <v>480</v>
      </c>
    </row>
    <row r="12" spans="1:10" x14ac:dyDescent="0.25">
      <c r="A12" s="10" t="s">
        <v>291</v>
      </c>
      <c r="B12" s="10" t="s">
        <v>40</v>
      </c>
      <c r="C12" s="10" t="s">
        <v>55</v>
      </c>
      <c r="D12" s="10" t="s">
        <v>42</v>
      </c>
      <c r="E12" s="20">
        <f t="shared" si="0"/>
        <v>496.00000000000006</v>
      </c>
      <c r="F12" s="20">
        <f t="shared" si="1"/>
        <v>33.999999999999957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291</v>
      </c>
      <c r="B13" s="12" t="s">
        <v>43</v>
      </c>
      <c r="C13" s="12" t="s">
        <v>32</v>
      </c>
      <c r="D13" s="12" t="s">
        <v>44</v>
      </c>
      <c r="E13" s="1">
        <f t="shared" si="0"/>
        <v>509.00000000000006</v>
      </c>
      <c r="F13" s="4">
        <f t="shared" si="1"/>
        <v>27.999999999999979</v>
      </c>
      <c r="G13" s="2">
        <f t="shared" si="2"/>
        <v>0</v>
      </c>
      <c r="H13" s="4" t="str">
        <f t="shared" si="3"/>
        <v>Late</v>
      </c>
      <c r="I13" s="5">
        <v>480</v>
      </c>
    </row>
    <row r="14" spans="1:10" x14ac:dyDescent="0.25">
      <c r="A14" s="10" t="s">
        <v>291</v>
      </c>
      <c r="B14" s="10" t="s">
        <v>45</v>
      </c>
      <c r="C14" s="10" t="s">
        <v>100</v>
      </c>
      <c r="D14" s="10" t="s">
        <v>101</v>
      </c>
      <c r="E14" s="20">
        <f t="shared" si="0"/>
        <v>524</v>
      </c>
      <c r="F14" s="20">
        <f t="shared" si="1"/>
        <v>22</v>
      </c>
      <c r="G14" s="20">
        <f t="shared" si="2"/>
        <v>0</v>
      </c>
      <c r="H14" s="21" t="str">
        <f t="shared" si="3"/>
        <v>Late</v>
      </c>
      <c r="I14" s="21">
        <v>480</v>
      </c>
    </row>
    <row r="15" spans="1:10" x14ac:dyDescent="0.25">
      <c r="A15" s="12" t="s">
        <v>291</v>
      </c>
      <c r="B15" s="12" t="s">
        <v>47</v>
      </c>
      <c r="C15" s="12" t="s">
        <v>102</v>
      </c>
      <c r="D15" s="12" t="s">
        <v>103</v>
      </c>
      <c r="E15" s="1">
        <f t="shared" si="0"/>
        <v>517.99999999999989</v>
      </c>
      <c r="F15" s="4">
        <f t="shared" si="1"/>
        <v>53.999999999999972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291</v>
      </c>
      <c r="B16" s="10" t="s">
        <v>49</v>
      </c>
      <c r="C16" s="10" t="s">
        <v>104</v>
      </c>
      <c r="D16" s="10" t="s">
        <v>24</v>
      </c>
      <c r="E16" s="20">
        <f t="shared" si="0"/>
        <v>500</v>
      </c>
      <c r="F16" s="20">
        <f t="shared" si="1"/>
        <v>8.999999999999968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291</v>
      </c>
      <c r="B17" s="12" t="s">
        <v>50</v>
      </c>
      <c r="C17" s="12" t="s">
        <v>105</v>
      </c>
      <c r="D17" s="12" t="s">
        <v>106</v>
      </c>
      <c r="E17" s="1">
        <f t="shared" si="0"/>
        <v>318</v>
      </c>
      <c r="F17" s="4">
        <f t="shared" si="1"/>
        <v>191.99999999999994</v>
      </c>
      <c r="G17" s="2">
        <f t="shared" si="2"/>
        <v>162</v>
      </c>
      <c r="H17" s="4" t="str">
        <f t="shared" si="3"/>
        <v>Late</v>
      </c>
      <c r="I17" s="5">
        <v>480</v>
      </c>
    </row>
    <row r="18" spans="1:9" x14ac:dyDescent="0.25">
      <c r="A18" s="10" t="s">
        <v>291</v>
      </c>
      <c r="B18" s="10" t="s">
        <v>52</v>
      </c>
      <c r="C18" s="10" t="s">
        <v>29</v>
      </c>
      <c r="D18" s="10" t="s">
        <v>107</v>
      </c>
      <c r="E18" s="20">
        <f t="shared" si="0"/>
        <v>487</v>
      </c>
      <c r="F18" s="20">
        <f t="shared" si="1"/>
        <v>13.99999999999995</v>
      </c>
      <c r="G18" s="20">
        <f t="shared" si="2"/>
        <v>0</v>
      </c>
      <c r="H18" s="21" t="str">
        <f t="shared" si="3"/>
        <v>Late</v>
      </c>
      <c r="I18" s="21">
        <v>480</v>
      </c>
    </row>
    <row r="19" spans="1:9" x14ac:dyDescent="0.25">
      <c r="A19" s="12" t="s">
        <v>291</v>
      </c>
      <c r="B19" s="12" t="s">
        <v>54</v>
      </c>
      <c r="C19" s="12" t="s">
        <v>108</v>
      </c>
      <c r="D19" s="12" t="s">
        <v>56</v>
      </c>
      <c r="E19" s="1">
        <f t="shared" si="0"/>
        <v>487</v>
      </c>
      <c r="F19" s="4">
        <f t="shared" si="1"/>
        <v>63.999999999999929</v>
      </c>
      <c r="G19" s="2">
        <f t="shared" si="2"/>
        <v>0</v>
      </c>
      <c r="H19" s="4" t="str">
        <f t="shared" si="3"/>
        <v>Late</v>
      </c>
      <c r="I19" s="5">
        <v>480</v>
      </c>
    </row>
    <row r="20" spans="1:9" x14ac:dyDescent="0.25">
      <c r="A20" s="10" t="s">
        <v>291</v>
      </c>
      <c r="B20" s="10" t="s">
        <v>57</v>
      </c>
      <c r="C20" s="10" t="s">
        <v>109</v>
      </c>
      <c r="D20" s="10" t="s">
        <v>59</v>
      </c>
      <c r="E20" s="20">
        <f t="shared" si="0"/>
        <v>555</v>
      </c>
      <c r="F20" s="20">
        <f t="shared" si="1"/>
        <v>45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25">
      <c r="A21" s="12" t="s">
        <v>291</v>
      </c>
      <c r="B21" s="12" t="s">
        <v>60</v>
      </c>
      <c r="C21" s="12" t="s">
        <v>100</v>
      </c>
      <c r="D21" s="12" t="s">
        <v>110</v>
      </c>
      <c r="E21" s="1">
        <f t="shared" si="0"/>
        <v>544.99999999999989</v>
      </c>
      <c r="F21" s="4">
        <f t="shared" si="1"/>
        <v>22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291</v>
      </c>
      <c r="B22" s="10" t="s">
        <v>63</v>
      </c>
      <c r="C22" s="10" t="s">
        <v>32</v>
      </c>
      <c r="D22" s="10" t="s">
        <v>65</v>
      </c>
      <c r="E22" s="20">
        <f t="shared" si="0"/>
        <v>533</v>
      </c>
      <c r="F22" s="20">
        <f t="shared" si="1"/>
        <v>27.999999999999979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291</v>
      </c>
      <c r="B23" s="12" t="s">
        <v>66</v>
      </c>
      <c r="C23" s="12" t="s">
        <v>111</v>
      </c>
      <c r="D23" s="12" t="s">
        <v>97</v>
      </c>
      <c r="E23" s="1">
        <f t="shared" si="0"/>
        <v>479</v>
      </c>
      <c r="F23" s="4">
        <f t="shared" si="1"/>
        <v>42.999999999999929</v>
      </c>
      <c r="G23" s="2">
        <f t="shared" si="2"/>
        <v>1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9.71093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290</v>
      </c>
      <c r="B2" s="10" t="s">
        <v>14</v>
      </c>
      <c r="C2" s="10" t="s">
        <v>112</v>
      </c>
      <c r="D2" s="10" t="s">
        <v>72</v>
      </c>
      <c r="E2" s="20">
        <f t="shared" ref="E2:E23" si="0">IF(OR(C2="Absent",D2="Absent",C2="",D2=""),"", (D2-C2)*1440)</f>
        <v>501.00000000000006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25">
      <c r="A3" s="12" t="s">
        <v>290</v>
      </c>
      <c r="B3" s="12" t="s">
        <v>17</v>
      </c>
      <c r="C3" s="12" t="s">
        <v>113</v>
      </c>
      <c r="D3" s="12" t="s">
        <v>114</v>
      </c>
      <c r="E3" s="1">
        <f t="shared" si="0"/>
        <v>533.99999999999989</v>
      </c>
      <c r="F3" s="1">
        <f>IF(OR(C3="",C3="Absent"),"",
 MAX(0,(C3 - TIME(8,50,0))*1440))</f>
        <v>0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25">
      <c r="A4" s="10" t="s">
        <v>290</v>
      </c>
      <c r="B4" s="10" t="s">
        <v>20</v>
      </c>
      <c r="C4" s="10" t="s">
        <v>115</v>
      </c>
      <c r="D4" s="10" t="s">
        <v>116</v>
      </c>
      <c r="E4" s="20">
        <f t="shared" si="0"/>
        <v>564.00000000000011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25">
      <c r="A5" s="12" t="s">
        <v>290</v>
      </c>
      <c r="B5" s="12" t="s">
        <v>22</v>
      </c>
      <c r="C5" s="12" t="s">
        <v>117</v>
      </c>
      <c r="D5" s="12" t="s">
        <v>116</v>
      </c>
      <c r="E5" s="1">
        <f t="shared" si="0"/>
        <v>528</v>
      </c>
      <c r="F5" s="1">
        <f t="shared" si="1"/>
        <v>5.9999999999999787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290</v>
      </c>
      <c r="B6" s="10" t="s">
        <v>25</v>
      </c>
      <c r="C6" s="10" t="s">
        <v>118</v>
      </c>
      <c r="D6" s="10" t="s">
        <v>119</v>
      </c>
      <c r="E6" s="20">
        <f t="shared" si="0"/>
        <v>572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25">
      <c r="A7" s="12" t="s">
        <v>290</v>
      </c>
      <c r="B7" s="12" t="s">
        <v>28</v>
      </c>
      <c r="C7" s="12" t="s">
        <v>95</v>
      </c>
      <c r="D7" s="12" t="s">
        <v>120</v>
      </c>
      <c r="E7" s="1">
        <f t="shared" si="0"/>
        <v>535.99999999999989</v>
      </c>
      <c r="F7" s="1">
        <f t="shared" si="1"/>
        <v>0</v>
      </c>
      <c r="G7" s="1">
        <f t="shared" si="2"/>
        <v>0</v>
      </c>
      <c r="H7" s="4" t="str">
        <f t="shared" si="3"/>
        <v>On Time</v>
      </c>
      <c r="I7" s="5">
        <v>480</v>
      </c>
    </row>
    <row r="8" spans="1:10" x14ac:dyDescent="0.25">
      <c r="A8" s="10" t="s">
        <v>290</v>
      </c>
      <c r="B8" s="10" t="s">
        <v>31</v>
      </c>
      <c r="C8" s="10" t="s">
        <v>121</v>
      </c>
      <c r="D8" s="10" t="s">
        <v>122</v>
      </c>
      <c r="E8" s="20">
        <f t="shared" si="0"/>
        <v>457.00000000000006</v>
      </c>
      <c r="F8" s="20">
        <f t="shared" si="1"/>
        <v>0</v>
      </c>
      <c r="G8" s="20">
        <f t="shared" si="2"/>
        <v>22.999999999999943</v>
      </c>
      <c r="H8" s="21" t="str">
        <f t="shared" si="3"/>
        <v>Late</v>
      </c>
      <c r="I8" s="21">
        <v>480</v>
      </c>
    </row>
    <row r="9" spans="1:10" x14ac:dyDescent="0.25">
      <c r="A9" s="12" t="s">
        <v>290</v>
      </c>
      <c r="B9" s="12" t="s">
        <v>34</v>
      </c>
      <c r="C9" s="12" t="s">
        <v>113</v>
      </c>
      <c r="D9" s="12" t="s">
        <v>123</v>
      </c>
      <c r="E9" s="1">
        <f t="shared" si="0"/>
        <v>495.99999999999994</v>
      </c>
      <c r="F9" s="1">
        <f t="shared" si="1"/>
        <v>0</v>
      </c>
      <c r="G9" s="1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290</v>
      </c>
      <c r="B10" s="10" t="s">
        <v>36</v>
      </c>
      <c r="C10" s="10" t="s">
        <v>124</v>
      </c>
      <c r="D10" s="10" t="s">
        <v>125</v>
      </c>
      <c r="E10" s="20">
        <f t="shared" si="0"/>
        <v>555.00000000000011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25">
      <c r="A11" s="12" t="s">
        <v>290</v>
      </c>
      <c r="B11" s="12" t="s">
        <v>38</v>
      </c>
      <c r="C11" s="12" t="s">
        <v>126</v>
      </c>
      <c r="D11" s="12" t="s">
        <v>127</v>
      </c>
      <c r="E11" s="1">
        <f t="shared" si="0"/>
        <v>566.00000000000011</v>
      </c>
      <c r="F11" s="1">
        <f t="shared" si="1"/>
        <v>0</v>
      </c>
      <c r="G11" s="1">
        <f t="shared" si="2"/>
        <v>0</v>
      </c>
      <c r="H11" s="4" t="str">
        <f t="shared" si="3"/>
        <v>Early</v>
      </c>
      <c r="I11" s="5">
        <v>480</v>
      </c>
    </row>
    <row r="12" spans="1:10" x14ac:dyDescent="0.25">
      <c r="A12" s="10" t="s">
        <v>290</v>
      </c>
      <c r="B12" s="10" t="s">
        <v>40</v>
      </c>
      <c r="C12" s="10" t="s">
        <v>118</v>
      </c>
      <c r="D12" s="10" t="s">
        <v>128</v>
      </c>
      <c r="E12" s="20">
        <f t="shared" si="0"/>
        <v>548.99999999999989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25">
      <c r="A13" s="12" t="s">
        <v>290</v>
      </c>
      <c r="B13" s="12" t="s">
        <v>43</v>
      </c>
      <c r="C13" s="12" t="s">
        <v>129</v>
      </c>
      <c r="D13" s="12" t="s">
        <v>130</v>
      </c>
      <c r="E13" s="1">
        <f t="shared" si="0"/>
        <v>508.00000000000006</v>
      </c>
      <c r="F13" s="1">
        <f t="shared" si="1"/>
        <v>0</v>
      </c>
      <c r="G13" s="1">
        <f t="shared" si="2"/>
        <v>0</v>
      </c>
      <c r="H13" s="4" t="str">
        <f t="shared" si="3"/>
        <v>On Time</v>
      </c>
      <c r="I13" s="5">
        <v>480</v>
      </c>
    </row>
    <row r="14" spans="1:10" x14ac:dyDescent="0.25">
      <c r="A14" s="10" t="s">
        <v>290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25">
      <c r="A15" s="12" t="s">
        <v>290</v>
      </c>
      <c r="B15" s="12" t="s">
        <v>47</v>
      </c>
      <c r="C15" s="12" t="s">
        <v>46</v>
      </c>
      <c r="D15" s="12" t="s">
        <v>27</v>
      </c>
      <c r="E15" s="1" t="str">
        <f t="shared" si="0"/>
        <v/>
      </c>
      <c r="F15" s="1" t="str">
        <f t="shared" si="1"/>
        <v/>
      </c>
      <c r="G15" s="1" t="e">
        <f t="shared" si="2"/>
        <v>#VALUE!</v>
      </c>
      <c r="H15" s="4" t="str">
        <f t="shared" si="3"/>
        <v>Absent</v>
      </c>
      <c r="I15" s="5">
        <v>480</v>
      </c>
    </row>
    <row r="16" spans="1:10" x14ac:dyDescent="0.25">
      <c r="A16" s="10" t="s">
        <v>290</v>
      </c>
      <c r="B16" s="10" t="s">
        <v>49</v>
      </c>
      <c r="C16" s="10" t="s">
        <v>46</v>
      </c>
      <c r="D16" s="10" t="s">
        <v>27</v>
      </c>
      <c r="E16" s="20" t="str">
        <f t="shared" si="0"/>
        <v/>
      </c>
      <c r="F16" s="20" t="str">
        <f t="shared" si="1"/>
        <v/>
      </c>
      <c r="G16" s="20" t="e">
        <f t="shared" si="2"/>
        <v>#VALUE!</v>
      </c>
      <c r="H16" s="21" t="str">
        <f t="shared" si="3"/>
        <v>Absent</v>
      </c>
      <c r="I16" s="21">
        <v>480</v>
      </c>
    </row>
    <row r="17" spans="1:9" x14ac:dyDescent="0.25">
      <c r="A17" s="12" t="s">
        <v>290</v>
      </c>
      <c r="B17" s="12" t="s">
        <v>50</v>
      </c>
      <c r="C17" s="12" t="s">
        <v>95</v>
      </c>
      <c r="D17" s="12" t="s">
        <v>131</v>
      </c>
      <c r="E17" s="1">
        <f t="shared" si="0"/>
        <v>254.99999999999997</v>
      </c>
      <c r="F17" s="1">
        <f t="shared" si="1"/>
        <v>0</v>
      </c>
      <c r="G17" s="1">
        <f t="shared" si="2"/>
        <v>225.00000000000003</v>
      </c>
      <c r="H17" s="4" t="str">
        <f t="shared" si="3"/>
        <v>Late</v>
      </c>
      <c r="I17" s="5">
        <v>480</v>
      </c>
    </row>
    <row r="18" spans="1:9" x14ac:dyDescent="0.25">
      <c r="A18" s="10" t="s">
        <v>290</v>
      </c>
      <c r="B18" s="10" t="s">
        <v>52</v>
      </c>
      <c r="C18" s="10" t="s">
        <v>46</v>
      </c>
      <c r="D18" s="10" t="s">
        <v>27</v>
      </c>
      <c r="E18" s="20" t="str">
        <f t="shared" si="0"/>
        <v/>
      </c>
      <c r="F18" s="20" t="str">
        <f t="shared" si="1"/>
        <v/>
      </c>
      <c r="G18" s="20" t="e">
        <f t="shared" si="2"/>
        <v>#VALUE!</v>
      </c>
      <c r="H18" s="21" t="str">
        <f t="shared" si="3"/>
        <v>Absent</v>
      </c>
      <c r="I18" s="21">
        <v>480</v>
      </c>
    </row>
    <row r="19" spans="1:9" x14ac:dyDescent="0.25">
      <c r="A19" s="12" t="s">
        <v>290</v>
      </c>
      <c r="B19" s="12" t="s">
        <v>54</v>
      </c>
      <c r="C19" s="12" t="s">
        <v>92</v>
      </c>
      <c r="D19" s="12" t="s">
        <v>132</v>
      </c>
      <c r="E19" s="1">
        <f t="shared" si="0"/>
        <v>577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290</v>
      </c>
      <c r="B20" s="10" t="s">
        <v>57</v>
      </c>
      <c r="C20" s="10" t="s">
        <v>117</v>
      </c>
      <c r="D20" s="10" t="s">
        <v>133</v>
      </c>
      <c r="E20" s="20">
        <f t="shared" si="0"/>
        <v>535</v>
      </c>
      <c r="F20" s="20">
        <f t="shared" si="1"/>
        <v>5.9999999999999787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25">
      <c r="A21" s="12" t="s">
        <v>290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4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25">
      <c r="A22" s="10" t="s">
        <v>290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25">
      <c r="A23" s="12" t="s">
        <v>290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s="4" t="str">
        <f t="shared" si="1"/>
        <v/>
      </c>
      <c r="G23" s="2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4.855468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289</v>
      </c>
      <c r="B2" s="10" t="s">
        <v>14</v>
      </c>
      <c r="C2" s="10" t="s">
        <v>134</v>
      </c>
      <c r="D2" s="10" t="s">
        <v>27</v>
      </c>
      <c r="E2" s="20" t="e">
        <f t="shared" ref="E2:E23" si="0">IF(OR(C2="Absent",D2="Absent",C2="",D2=""),"", (D2-C2)*1440)</f>
        <v>#VALUE!</v>
      </c>
      <c r="F2" s="20">
        <f>IF(OR(C2="",C2="Absent"),"",
 MAX(0,(C2 - TIME(8,50,0))*1440))</f>
        <v>0</v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Missing</v>
      </c>
      <c r="I2" s="21">
        <v>480</v>
      </c>
    </row>
    <row r="3" spans="1:10" x14ac:dyDescent="0.25">
      <c r="A3" s="12" t="s">
        <v>289</v>
      </c>
      <c r="B3" s="12" t="s">
        <v>17</v>
      </c>
      <c r="C3" s="12" t="s">
        <v>135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289</v>
      </c>
      <c r="B4" s="10" t="s">
        <v>20</v>
      </c>
      <c r="C4" s="10" t="s">
        <v>115</v>
      </c>
      <c r="D4" s="10" t="s">
        <v>27</v>
      </c>
      <c r="E4" s="20" t="e">
        <f t="shared" si="0"/>
        <v>#VALUE!</v>
      </c>
      <c r="F4" s="20">
        <f t="shared" ref="F4:F23" si="1">IF(OR(C4="",C4="Absent"),"",
MAX(0,(C4 - TIME(8,50,0))*1440))</f>
        <v>0</v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21">
        <v>480</v>
      </c>
    </row>
    <row r="5" spans="1:10" x14ac:dyDescent="0.25">
      <c r="A5" s="12" t="s">
        <v>289</v>
      </c>
      <c r="B5" s="12" t="s">
        <v>22</v>
      </c>
      <c r="C5" s="12" t="s">
        <v>136</v>
      </c>
      <c r="D5" s="12" t="s">
        <v>137</v>
      </c>
      <c r="E5" s="1">
        <f t="shared" si="0"/>
        <v>563.00000000000011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25">
      <c r="A6" s="10" t="s">
        <v>289</v>
      </c>
      <c r="B6" s="10" t="s">
        <v>25</v>
      </c>
      <c r="C6" s="10" t="s">
        <v>112</v>
      </c>
      <c r="D6" s="10" t="s">
        <v>125</v>
      </c>
      <c r="E6" s="20">
        <f t="shared" si="0"/>
        <v>543.00000000000011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25">
      <c r="A7" s="12" t="s">
        <v>289</v>
      </c>
      <c r="B7" s="12" t="s">
        <v>28</v>
      </c>
      <c r="C7" s="12" t="s">
        <v>138</v>
      </c>
      <c r="D7" s="12" t="s">
        <v>42</v>
      </c>
      <c r="E7" s="1">
        <f t="shared" si="0"/>
        <v>559.00000000000011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25">
      <c r="A8" s="10" t="s">
        <v>289</v>
      </c>
      <c r="B8" s="10" t="s">
        <v>31</v>
      </c>
      <c r="C8" s="10" t="s">
        <v>139</v>
      </c>
      <c r="D8" s="10" t="s">
        <v>27</v>
      </c>
      <c r="E8" s="20" t="e">
        <f t="shared" si="0"/>
        <v>#VALUE!</v>
      </c>
      <c r="F8" s="20">
        <f t="shared" si="1"/>
        <v>0</v>
      </c>
      <c r="G8" s="20" t="e">
        <f t="shared" si="2"/>
        <v>#VALUE!</v>
      </c>
      <c r="H8" s="21" t="str">
        <f t="shared" si="3"/>
        <v>Missing</v>
      </c>
      <c r="I8" s="21">
        <v>480</v>
      </c>
    </row>
    <row r="9" spans="1:10" x14ac:dyDescent="0.25">
      <c r="A9" s="12" t="s">
        <v>289</v>
      </c>
      <c r="B9" s="12" t="s">
        <v>34</v>
      </c>
      <c r="C9" s="12" t="s">
        <v>139</v>
      </c>
      <c r="D9" s="12" t="s">
        <v>139</v>
      </c>
      <c r="E9" s="1">
        <f t="shared" si="0"/>
        <v>0</v>
      </c>
      <c r="F9" s="4">
        <f t="shared" si="1"/>
        <v>0</v>
      </c>
      <c r="G9" s="2">
        <f t="shared" si="2"/>
        <v>480</v>
      </c>
      <c r="H9" s="4" t="str">
        <f t="shared" si="3"/>
        <v>Early</v>
      </c>
      <c r="I9" s="5">
        <v>480</v>
      </c>
    </row>
    <row r="10" spans="1:10" x14ac:dyDescent="0.25">
      <c r="A10" s="10" t="s">
        <v>289</v>
      </c>
      <c r="B10" s="10" t="s">
        <v>36</v>
      </c>
      <c r="C10" s="10" t="s">
        <v>138</v>
      </c>
      <c r="D10" s="10" t="s">
        <v>140</v>
      </c>
      <c r="E10" s="20">
        <f t="shared" si="0"/>
        <v>562.00000000000011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25">
      <c r="A11" s="12" t="s">
        <v>289</v>
      </c>
      <c r="B11" s="12" t="s">
        <v>38</v>
      </c>
      <c r="C11" s="12" t="s">
        <v>141</v>
      </c>
      <c r="D11" s="12" t="s">
        <v>88</v>
      </c>
      <c r="E11" s="1">
        <f t="shared" si="0"/>
        <v>515.00000000000011</v>
      </c>
      <c r="F11" s="4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</row>
    <row r="12" spans="1:10" x14ac:dyDescent="0.25">
      <c r="A12" s="10" t="s">
        <v>289</v>
      </c>
      <c r="B12" s="10" t="s">
        <v>40</v>
      </c>
      <c r="C12" s="10" t="s">
        <v>118</v>
      </c>
      <c r="D12" s="10" t="s">
        <v>142</v>
      </c>
      <c r="E12" s="20">
        <f t="shared" si="0"/>
        <v>502.99999999999989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25">
      <c r="A13" s="12" t="s">
        <v>289</v>
      </c>
      <c r="B13" s="12" t="s">
        <v>43</v>
      </c>
      <c r="C13" s="12" t="s">
        <v>143</v>
      </c>
      <c r="D13" s="12" t="s">
        <v>76</v>
      </c>
      <c r="E13" s="1">
        <f t="shared" si="0"/>
        <v>502</v>
      </c>
      <c r="F13" s="4">
        <f t="shared" si="1"/>
        <v>0</v>
      </c>
      <c r="G13" s="2">
        <f t="shared" si="2"/>
        <v>0</v>
      </c>
      <c r="H13" s="4" t="str">
        <f t="shared" si="3"/>
        <v>Early</v>
      </c>
      <c r="I13" s="5">
        <v>480</v>
      </c>
    </row>
    <row r="14" spans="1:10" x14ac:dyDescent="0.25">
      <c r="A14" s="10" t="s">
        <v>289</v>
      </c>
      <c r="B14" s="10" t="s">
        <v>45</v>
      </c>
      <c r="C14" s="10" t="s">
        <v>144</v>
      </c>
      <c r="D14" s="10" t="s">
        <v>19</v>
      </c>
      <c r="E14" s="20">
        <f t="shared" si="0"/>
        <v>541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25">
      <c r="A15" s="12" t="s">
        <v>289</v>
      </c>
      <c r="B15" s="12" t="s">
        <v>47</v>
      </c>
      <c r="C15" s="12" t="s">
        <v>145</v>
      </c>
      <c r="D15" s="12" t="s">
        <v>146</v>
      </c>
      <c r="E15" s="1">
        <f t="shared" si="0"/>
        <v>567.00000000000011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25">
      <c r="A16" s="10" t="s">
        <v>289</v>
      </c>
      <c r="B16" s="10" t="s">
        <v>49</v>
      </c>
      <c r="C16" s="10" t="s">
        <v>92</v>
      </c>
      <c r="D16" s="10" t="s">
        <v>147</v>
      </c>
      <c r="E16" s="20">
        <f t="shared" si="0"/>
        <v>578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25">
      <c r="A17" s="12" t="s">
        <v>289</v>
      </c>
      <c r="B17" s="12" t="s">
        <v>50</v>
      </c>
      <c r="C17" s="12" t="s">
        <v>134</v>
      </c>
      <c r="D17" s="12" t="s">
        <v>148</v>
      </c>
      <c r="E17" s="1">
        <f t="shared" si="0"/>
        <v>491</v>
      </c>
      <c r="F17" s="4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25">
      <c r="A18" s="10" t="s">
        <v>289</v>
      </c>
      <c r="B18" s="10" t="s">
        <v>52</v>
      </c>
      <c r="C18" s="10" t="s">
        <v>149</v>
      </c>
      <c r="D18" s="10" t="s">
        <v>27</v>
      </c>
      <c r="E18" s="20" t="e">
        <f t="shared" si="0"/>
        <v>#VALUE!</v>
      </c>
      <c r="F18" s="20">
        <f t="shared" si="1"/>
        <v>0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25">
      <c r="A19" s="12" t="s">
        <v>289</v>
      </c>
      <c r="B19" s="12" t="s">
        <v>54</v>
      </c>
      <c r="C19" s="12" t="s">
        <v>150</v>
      </c>
      <c r="D19" s="12" t="s">
        <v>150</v>
      </c>
      <c r="E19" s="1">
        <f t="shared" si="0"/>
        <v>0</v>
      </c>
      <c r="F19" s="4">
        <f t="shared" si="1"/>
        <v>0</v>
      </c>
      <c r="G19" s="2">
        <f t="shared" si="2"/>
        <v>480</v>
      </c>
      <c r="H19" s="4" t="str">
        <f t="shared" si="3"/>
        <v>Late</v>
      </c>
      <c r="I19" s="5">
        <v>480</v>
      </c>
    </row>
    <row r="20" spans="1:9" x14ac:dyDescent="0.25">
      <c r="A20" s="10" t="s">
        <v>289</v>
      </c>
      <c r="B20" s="10" t="s">
        <v>57</v>
      </c>
      <c r="C20" s="10" t="s">
        <v>145</v>
      </c>
      <c r="D20" s="10" t="s">
        <v>97</v>
      </c>
      <c r="E20" s="20">
        <f t="shared" si="0"/>
        <v>553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25">
      <c r="A21" s="12" t="s">
        <v>289</v>
      </c>
      <c r="B21" s="12" t="s">
        <v>60</v>
      </c>
      <c r="C21" s="12" t="s">
        <v>138</v>
      </c>
      <c r="D21" s="12" t="s">
        <v>107</v>
      </c>
      <c r="E21" s="1">
        <f t="shared" si="0"/>
        <v>530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25">
      <c r="A22" s="10" t="s">
        <v>289</v>
      </c>
      <c r="B22" s="10" t="s">
        <v>63</v>
      </c>
      <c r="C22" s="10" t="s">
        <v>143</v>
      </c>
      <c r="D22" s="10" t="s">
        <v>151</v>
      </c>
      <c r="E22" s="20">
        <f t="shared" si="0"/>
        <v>625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25">
      <c r="A23" s="12" t="s">
        <v>289</v>
      </c>
      <c r="B23" s="12" t="s">
        <v>66</v>
      </c>
      <c r="C23" s="12" t="s">
        <v>138</v>
      </c>
      <c r="D23" s="12" t="s">
        <v>152</v>
      </c>
      <c r="E23" s="1">
        <f t="shared" si="0"/>
        <v>532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A1:J23"/>
  <sheetViews>
    <sheetView zoomScale="70" zoomScaleNormal="70" workbookViewId="0">
      <selection activeCell="J25" sqref="J15:J25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6.28515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288</v>
      </c>
      <c r="B2" s="10" t="s">
        <v>14</v>
      </c>
      <c r="C2" s="10" t="s">
        <v>149</v>
      </c>
      <c r="D2" s="10" t="s">
        <v>72</v>
      </c>
      <c r="E2" s="20">
        <f t="shared" ref="E2:E23" si="0">IF(OR(C2="Absent",D2="Absent",C2="",D2=""),"", (D2-C2)*1440)</f>
        <v>496.00000000000006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25">
      <c r="A3" s="12" t="s">
        <v>288</v>
      </c>
      <c r="B3" s="12" t="s">
        <v>17</v>
      </c>
      <c r="C3" s="12" t="s">
        <v>84</v>
      </c>
      <c r="D3" s="12" t="s">
        <v>153</v>
      </c>
      <c r="E3" s="1">
        <f t="shared" si="0"/>
        <v>430.99999999999989</v>
      </c>
      <c r="F3" s="2">
        <f>IF(OR(C3="",C3="Absent"),"",
 MAX(0,(C3 - TIME(8,50,0))*1440))</f>
        <v>1.9999999999999929</v>
      </c>
      <c r="G3" s="2">
        <f>IF(C3="","",
 MAX(0,480 - E3))</f>
        <v>49.000000000000114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288</v>
      </c>
      <c r="B4" s="10" t="s">
        <v>20</v>
      </c>
      <c r="C4" s="10" t="s">
        <v>150</v>
      </c>
      <c r="D4" s="10" t="s">
        <v>116</v>
      </c>
      <c r="E4" s="20">
        <f t="shared" si="0"/>
        <v>542.00000000000011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25">
      <c r="A5" s="12" t="s">
        <v>288</v>
      </c>
      <c r="B5" s="12" t="s">
        <v>22</v>
      </c>
      <c r="C5" s="12" t="s">
        <v>154</v>
      </c>
      <c r="D5" s="12" t="s">
        <v>155</v>
      </c>
      <c r="E5" s="1">
        <f t="shared" si="0"/>
        <v>589.00000000000011</v>
      </c>
      <c r="F5" s="2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288</v>
      </c>
      <c r="B6" s="10" t="s">
        <v>25</v>
      </c>
      <c r="C6" s="10" t="s">
        <v>94</v>
      </c>
      <c r="D6" s="10" t="s">
        <v>156</v>
      </c>
      <c r="E6" s="20">
        <f t="shared" si="0"/>
        <v>577.00000000000011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25">
      <c r="A7" s="12" t="s">
        <v>288</v>
      </c>
      <c r="B7" s="12" t="s">
        <v>28</v>
      </c>
      <c r="C7" s="12" t="s">
        <v>150</v>
      </c>
      <c r="D7" s="12" t="s">
        <v>16</v>
      </c>
      <c r="E7" s="1">
        <f t="shared" si="0"/>
        <v>519</v>
      </c>
      <c r="F7" s="2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25">
      <c r="A8" s="10" t="s">
        <v>288</v>
      </c>
      <c r="B8" s="10" t="s">
        <v>31</v>
      </c>
      <c r="C8" s="10" t="s">
        <v>95</v>
      </c>
      <c r="D8" s="10" t="s">
        <v>140</v>
      </c>
      <c r="E8" s="20">
        <f t="shared" si="0"/>
        <v>548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25">
      <c r="A9" s="12" t="s">
        <v>288</v>
      </c>
      <c r="B9" s="12" t="s">
        <v>34</v>
      </c>
      <c r="C9" s="12" t="s">
        <v>112</v>
      </c>
      <c r="D9" s="12" t="s">
        <v>123</v>
      </c>
      <c r="E9" s="1">
        <f t="shared" si="0"/>
        <v>489.99999999999994</v>
      </c>
      <c r="F9" s="2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288</v>
      </c>
      <c r="B10" s="10" t="s">
        <v>36</v>
      </c>
      <c r="C10" s="10" t="s">
        <v>71</v>
      </c>
      <c r="D10" s="10" t="s">
        <v>125</v>
      </c>
      <c r="E10" s="20">
        <f t="shared" si="0"/>
        <v>530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x14ac:dyDescent="0.25">
      <c r="A11" s="12" t="s">
        <v>288</v>
      </c>
      <c r="B11" s="12" t="s">
        <v>38</v>
      </c>
      <c r="C11" s="12" t="s">
        <v>90</v>
      </c>
      <c r="D11" s="12" t="s">
        <v>157</v>
      </c>
      <c r="E11" s="1">
        <f t="shared" si="0"/>
        <v>542</v>
      </c>
      <c r="F11" s="2">
        <f t="shared" si="1"/>
        <v>4.9999999999999822</v>
      </c>
      <c r="G11" s="2">
        <f t="shared" si="2"/>
        <v>0</v>
      </c>
      <c r="H11" s="4" t="str">
        <f t="shared" si="3"/>
        <v>Late</v>
      </c>
      <c r="I11" s="5">
        <v>480</v>
      </c>
    </row>
    <row r="12" spans="1:10" x14ac:dyDescent="0.25">
      <c r="A12" s="10" t="s">
        <v>288</v>
      </c>
      <c r="B12" s="10" t="s">
        <v>40</v>
      </c>
      <c r="C12" s="10" t="s">
        <v>104</v>
      </c>
      <c r="D12" s="10" t="s">
        <v>106</v>
      </c>
      <c r="E12" s="20">
        <f t="shared" si="0"/>
        <v>501</v>
      </c>
      <c r="F12" s="20">
        <f t="shared" si="1"/>
        <v>8.999999999999968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288</v>
      </c>
      <c r="B13" s="12" t="s">
        <v>43</v>
      </c>
      <c r="C13" s="12" t="s">
        <v>126</v>
      </c>
      <c r="D13" s="12" t="s">
        <v>27</v>
      </c>
      <c r="E13" s="1" t="e">
        <f t="shared" si="0"/>
        <v>#VALUE!</v>
      </c>
      <c r="F13" s="2">
        <f t="shared" si="1"/>
        <v>0</v>
      </c>
      <c r="G13" s="2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25">
      <c r="A14" s="10" t="s">
        <v>288</v>
      </c>
      <c r="B14" s="10" t="s">
        <v>45</v>
      </c>
      <c r="C14" s="10" t="s">
        <v>154</v>
      </c>
      <c r="D14" s="10" t="s">
        <v>158</v>
      </c>
      <c r="E14" s="20">
        <f t="shared" si="0"/>
        <v>629.00000000000011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25">
      <c r="A15" s="12" t="s">
        <v>288</v>
      </c>
      <c r="B15" s="12" t="s">
        <v>47</v>
      </c>
      <c r="C15" s="12" t="s">
        <v>84</v>
      </c>
      <c r="D15" s="12" t="s">
        <v>159</v>
      </c>
      <c r="E15" s="1">
        <f t="shared" si="0"/>
        <v>523.99999999999989</v>
      </c>
      <c r="F15" s="2">
        <f t="shared" si="1"/>
        <v>1.9999999999999929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288</v>
      </c>
      <c r="B16" s="10" t="s">
        <v>49</v>
      </c>
      <c r="C16" s="10" t="s">
        <v>92</v>
      </c>
      <c r="D16" s="10" t="s">
        <v>160</v>
      </c>
      <c r="E16" s="20">
        <f t="shared" si="0"/>
        <v>611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25">
      <c r="A17" s="12" t="s">
        <v>288</v>
      </c>
      <c r="B17" s="12" t="s">
        <v>50</v>
      </c>
      <c r="C17" s="12" t="s">
        <v>74</v>
      </c>
      <c r="D17" s="12" t="s">
        <v>161</v>
      </c>
      <c r="E17" s="1">
        <f t="shared" si="0"/>
        <v>549</v>
      </c>
      <c r="F17" s="2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25">
      <c r="A18" s="10" t="s">
        <v>288</v>
      </c>
      <c r="B18" s="10" t="s">
        <v>52</v>
      </c>
      <c r="C18" s="10" t="s">
        <v>162</v>
      </c>
      <c r="D18" s="10" t="s">
        <v>162</v>
      </c>
      <c r="E18" s="20">
        <f t="shared" si="0"/>
        <v>0</v>
      </c>
      <c r="F18" s="20">
        <f t="shared" si="1"/>
        <v>7.9999999999999716</v>
      </c>
      <c r="G18" s="20">
        <f t="shared" si="2"/>
        <v>480</v>
      </c>
      <c r="H18" s="21" t="str">
        <f t="shared" si="3"/>
        <v>Late</v>
      </c>
      <c r="I18" s="21">
        <v>480</v>
      </c>
    </row>
    <row r="19" spans="1:9" x14ac:dyDescent="0.25">
      <c r="A19" s="12" t="s">
        <v>288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2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25">
      <c r="A20" s="10" t="s">
        <v>288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25">
      <c r="A21" s="12" t="s">
        <v>288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2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25">
      <c r="A22" s="10" t="s">
        <v>288</v>
      </c>
      <c r="B22" s="10" t="s">
        <v>63</v>
      </c>
      <c r="C22" s="10" t="s">
        <v>37</v>
      </c>
      <c r="D22" s="10" t="s">
        <v>163</v>
      </c>
      <c r="E22" s="20">
        <f t="shared" si="0"/>
        <v>493</v>
      </c>
      <c r="F22" s="20">
        <f t="shared" si="1"/>
        <v>14.999999999999947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288</v>
      </c>
      <c r="B23" s="12" t="s">
        <v>66</v>
      </c>
      <c r="C23" s="12" t="s">
        <v>117</v>
      </c>
      <c r="D23" s="12" t="s">
        <v>107</v>
      </c>
      <c r="E23" s="1">
        <f t="shared" si="0"/>
        <v>495</v>
      </c>
      <c r="F23" s="2">
        <f t="shared" si="1"/>
        <v>5.9999999999999787</v>
      </c>
      <c r="G23" s="2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/>
  <dimension ref="A1:J23"/>
  <sheetViews>
    <sheetView zoomScale="70" zoomScaleNormal="70" workbookViewId="0">
      <selection activeCell="J8" sqref="J3:J8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1.28515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287</v>
      </c>
      <c r="B2" s="10" t="s">
        <v>14</v>
      </c>
      <c r="C2" s="10" t="s">
        <v>98</v>
      </c>
      <c r="D2" s="10" t="s">
        <v>133</v>
      </c>
      <c r="E2" s="20">
        <f t="shared" ref="E2:E23" si="0">IF(OR(C2="Absent",D2="Absent",C2="",D2=""),"", (D2-C2)*1440)</f>
        <v>524</v>
      </c>
      <c r="F2" s="20">
        <f>IF(OR(C2="",C2="Absent"),"",
 MAX(0,(C2 - TIME(8,50,0))*1440))</f>
        <v>16.99999999999994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287</v>
      </c>
      <c r="B3" s="12" t="s">
        <v>17</v>
      </c>
      <c r="C3" s="12" t="s">
        <v>41</v>
      </c>
      <c r="D3" s="12" t="s">
        <v>41</v>
      </c>
      <c r="E3" s="1">
        <f t="shared" si="0"/>
        <v>0</v>
      </c>
      <c r="F3" s="1">
        <f>IF(OR(C3="",C3="Absent"),"",
 MAX(0,(C3 - TIME(8,50,0))*1440))</f>
        <v>24.999999999999993</v>
      </c>
      <c r="G3" s="2">
        <f>IF(C3="","",
 MAX(0,480 - E3))</f>
        <v>480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287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25">
      <c r="A5" s="12" t="s">
        <v>287</v>
      </c>
      <c r="B5" s="12" t="s">
        <v>22</v>
      </c>
      <c r="C5" s="12" t="s">
        <v>164</v>
      </c>
      <c r="D5" s="12" t="s">
        <v>165</v>
      </c>
      <c r="E5" s="1">
        <f t="shared" si="0"/>
        <v>482.00000000000006</v>
      </c>
      <c r="F5" s="1">
        <f t="shared" si="1"/>
        <v>11.999999999999957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287</v>
      </c>
      <c r="B6" s="10" t="s">
        <v>25</v>
      </c>
      <c r="C6" s="10" t="s">
        <v>21</v>
      </c>
      <c r="D6" s="10" t="s">
        <v>97</v>
      </c>
      <c r="E6" s="20">
        <f t="shared" si="0"/>
        <v>497.99999999999989</v>
      </c>
      <c r="F6" s="20">
        <f t="shared" si="1"/>
        <v>23.999999999999993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287</v>
      </c>
      <c r="B7" s="12" t="s">
        <v>28</v>
      </c>
      <c r="C7" s="12" t="s">
        <v>18</v>
      </c>
      <c r="D7" s="12" t="s">
        <v>30</v>
      </c>
      <c r="E7" s="1">
        <f t="shared" si="0"/>
        <v>484.00000000000006</v>
      </c>
      <c r="F7" s="1">
        <f t="shared" si="1"/>
        <v>17.999999999999936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287</v>
      </c>
      <c r="B8" s="10" t="s">
        <v>31</v>
      </c>
      <c r="C8" s="10" t="s">
        <v>98</v>
      </c>
      <c r="D8" s="10" t="s">
        <v>98</v>
      </c>
      <c r="E8" s="20">
        <f t="shared" si="0"/>
        <v>0</v>
      </c>
      <c r="F8" s="20">
        <f t="shared" si="1"/>
        <v>16.99999999999994</v>
      </c>
      <c r="G8" s="20">
        <f t="shared" si="2"/>
        <v>480</v>
      </c>
      <c r="H8" s="21" t="str">
        <f t="shared" si="3"/>
        <v>Late</v>
      </c>
      <c r="I8" s="21">
        <v>480</v>
      </c>
    </row>
    <row r="9" spans="1:10" x14ac:dyDescent="0.25">
      <c r="A9" s="12" t="s">
        <v>287</v>
      </c>
      <c r="B9" s="12" t="s">
        <v>34</v>
      </c>
      <c r="C9" s="12" t="s">
        <v>35</v>
      </c>
      <c r="D9" s="12" t="s">
        <v>106</v>
      </c>
      <c r="E9" s="1">
        <f t="shared" si="0"/>
        <v>489</v>
      </c>
      <c r="F9" s="1">
        <f t="shared" si="1"/>
        <v>20.999999999999925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287</v>
      </c>
      <c r="B10" s="10" t="s">
        <v>36</v>
      </c>
      <c r="C10" s="10" t="s">
        <v>69</v>
      </c>
      <c r="D10" s="10" t="s">
        <v>16</v>
      </c>
      <c r="E10" s="20">
        <f t="shared" si="0"/>
        <v>500</v>
      </c>
      <c r="F10" s="20">
        <f t="shared" si="1"/>
        <v>10.999999999999961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287</v>
      </c>
      <c r="B11" s="12" t="s">
        <v>38</v>
      </c>
      <c r="C11" s="12" t="s">
        <v>166</v>
      </c>
      <c r="D11" s="12" t="s">
        <v>39</v>
      </c>
      <c r="E11" s="1">
        <f t="shared" si="0"/>
        <v>458.99999999999994</v>
      </c>
      <c r="F11" s="1">
        <f t="shared" si="1"/>
        <v>59.999999999999943</v>
      </c>
      <c r="G11" s="2">
        <f t="shared" si="2"/>
        <v>21.000000000000057</v>
      </c>
      <c r="H11" s="4" t="str">
        <f t="shared" si="3"/>
        <v>Late</v>
      </c>
      <c r="I11" s="5">
        <v>480</v>
      </c>
    </row>
    <row r="12" spans="1:10" x14ac:dyDescent="0.25">
      <c r="A12" s="10" t="s">
        <v>287</v>
      </c>
      <c r="B12" s="10" t="s">
        <v>40</v>
      </c>
      <c r="C12" s="10" t="s">
        <v>55</v>
      </c>
      <c r="D12" s="10" t="s">
        <v>42</v>
      </c>
      <c r="E12" s="20">
        <f t="shared" si="0"/>
        <v>496.00000000000006</v>
      </c>
      <c r="F12" s="20">
        <f t="shared" si="1"/>
        <v>33.999999999999957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287</v>
      </c>
      <c r="B13" s="12" t="s">
        <v>43</v>
      </c>
      <c r="C13" s="12" t="s">
        <v>32</v>
      </c>
      <c r="D13" s="12" t="s">
        <v>167</v>
      </c>
      <c r="E13" s="1">
        <f t="shared" si="0"/>
        <v>431</v>
      </c>
      <c r="F13" s="1">
        <f t="shared" si="1"/>
        <v>27.999999999999979</v>
      </c>
      <c r="G13" s="2">
        <f t="shared" si="2"/>
        <v>49</v>
      </c>
      <c r="H13" s="4" t="str">
        <f t="shared" si="3"/>
        <v>Late</v>
      </c>
      <c r="I13" s="5">
        <v>480</v>
      </c>
    </row>
    <row r="14" spans="1:10" x14ac:dyDescent="0.25">
      <c r="A14" s="10" t="s">
        <v>287</v>
      </c>
      <c r="B14" s="10" t="s">
        <v>45</v>
      </c>
      <c r="C14" s="10" t="s">
        <v>168</v>
      </c>
      <c r="D14" s="10" t="s">
        <v>88</v>
      </c>
      <c r="E14" s="20">
        <f t="shared" si="0"/>
        <v>451.00000000000006</v>
      </c>
      <c r="F14" s="20">
        <f t="shared" si="1"/>
        <v>31.999999999999964</v>
      </c>
      <c r="G14" s="20">
        <f t="shared" si="2"/>
        <v>28.999999999999943</v>
      </c>
      <c r="H14" s="21" t="str">
        <f t="shared" si="3"/>
        <v>Late</v>
      </c>
      <c r="I14" s="21">
        <v>480</v>
      </c>
    </row>
    <row r="15" spans="1:10" x14ac:dyDescent="0.25">
      <c r="A15" s="12" t="s">
        <v>287</v>
      </c>
      <c r="B15" s="12" t="s">
        <v>47</v>
      </c>
      <c r="C15" s="12" t="s">
        <v>90</v>
      </c>
      <c r="D15" s="12" t="s">
        <v>169</v>
      </c>
      <c r="E15" s="1">
        <f t="shared" si="0"/>
        <v>481.00000000000006</v>
      </c>
      <c r="F15" s="1">
        <f t="shared" si="1"/>
        <v>4.9999999999999822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287</v>
      </c>
      <c r="B16" s="10" t="s">
        <v>49</v>
      </c>
      <c r="C16" s="10" t="s">
        <v>15</v>
      </c>
      <c r="D16" s="10" t="s">
        <v>24</v>
      </c>
      <c r="E16" s="20">
        <f t="shared" si="0"/>
        <v>496</v>
      </c>
      <c r="F16" s="20">
        <f t="shared" si="1"/>
        <v>12.999999999999954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287</v>
      </c>
      <c r="B17" s="12" t="s">
        <v>50</v>
      </c>
      <c r="C17" s="12" t="s">
        <v>69</v>
      </c>
      <c r="D17" s="12" t="s">
        <v>106</v>
      </c>
      <c r="E17" s="1">
        <f t="shared" si="0"/>
        <v>499</v>
      </c>
      <c r="F17" s="1">
        <f t="shared" si="1"/>
        <v>10.999999999999961</v>
      </c>
      <c r="G17" s="2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287</v>
      </c>
      <c r="B18" s="10" t="s">
        <v>52</v>
      </c>
      <c r="C18" s="10" t="s">
        <v>41</v>
      </c>
      <c r="D18" s="10" t="s">
        <v>93</v>
      </c>
      <c r="E18" s="20">
        <f t="shared" si="0"/>
        <v>444.99999999999994</v>
      </c>
      <c r="F18" s="20">
        <f t="shared" si="1"/>
        <v>24.999999999999993</v>
      </c>
      <c r="G18" s="20">
        <f t="shared" si="2"/>
        <v>35.000000000000057</v>
      </c>
      <c r="H18" s="21" t="str">
        <f t="shared" si="3"/>
        <v>Late</v>
      </c>
      <c r="I18" s="21">
        <v>480</v>
      </c>
    </row>
    <row r="19" spans="1:9" x14ac:dyDescent="0.25">
      <c r="A19" s="12" t="s">
        <v>287</v>
      </c>
      <c r="B19" s="12" t="s">
        <v>54</v>
      </c>
      <c r="C19" s="12" t="s">
        <v>170</v>
      </c>
      <c r="D19" s="12" t="s">
        <v>107</v>
      </c>
      <c r="E19" s="1">
        <f t="shared" si="0"/>
        <v>482.00000000000006</v>
      </c>
      <c r="F19" s="1">
        <f t="shared" si="1"/>
        <v>18.999999999999932</v>
      </c>
      <c r="G19" s="2">
        <f t="shared" si="2"/>
        <v>0</v>
      </c>
      <c r="H19" s="4" t="str">
        <f t="shared" si="3"/>
        <v>Late</v>
      </c>
      <c r="I19" s="5">
        <v>480</v>
      </c>
    </row>
    <row r="20" spans="1:9" x14ac:dyDescent="0.25">
      <c r="A20" s="10" t="s">
        <v>287</v>
      </c>
      <c r="B20" s="10" t="s">
        <v>57</v>
      </c>
      <c r="C20" s="10" t="s">
        <v>41</v>
      </c>
      <c r="D20" s="10" t="s">
        <v>171</v>
      </c>
      <c r="E20" s="20">
        <f t="shared" si="0"/>
        <v>480.99999999999994</v>
      </c>
      <c r="F20" s="20">
        <f t="shared" si="1"/>
        <v>24.999999999999993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25">
      <c r="A21" s="12" t="s">
        <v>287</v>
      </c>
      <c r="B21" s="12" t="s">
        <v>60</v>
      </c>
      <c r="C21" s="12" t="s">
        <v>69</v>
      </c>
      <c r="D21" s="12" t="s">
        <v>172</v>
      </c>
      <c r="E21" s="1">
        <f t="shared" si="0"/>
        <v>486.00000000000006</v>
      </c>
      <c r="F21" s="1">
        <f t="shared" si="1"/>
        <v>10.999999999999961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287</v>
      </c>
      <c r="B22" s="10" t="s">
        <v>63</v>
      </c>
      <c r="C22" s="10" t="s">
        <v>69</v>
      </c>
      <c r="D22" s="10" t="s">
        <v>173</v>
      </c>
      <c r="E22" s="20">
        <f t="shared" si="0"/>
        <v>488</v>
      </c>
      <c r="F22" s="20">
        <f t="shared" si="1"/>
        <v>10.999999999999961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287</v>
      </c>
      <c r="B23" s="12" t="s">
        <v>66</v>
      </c>
      <c r="C23" s="12" t="s">
        <v>37</v>
      </c>
      <c r="D23" s="12" t="s">
        <v>174</v>
      </c>
      <c r="E23" s="1">
        <f t="shared" si="0"/>
        <v>381.00000000000011</v>
      </c>
      <c r="F23" s="1">
        <f t="shared" si="1"/>
        <v>14.999999999999947</v>
      </c>
      <c r="G23" s="2">
        <f t="shared" si="2"/>
        <v>98.999999999999886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/>
  <dimension ref="A1:J23"/>
  <sheetViews>
    <sheetView zoomScale="70" zoomScaleNormal="70" workbookViewId="0">
      <selection activeCell="J17" sqref="J3:J17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6.425781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286</v>
      </c>
      <c r="B2" s="10" t="s">
        <v>14</v>
      </c>
      <c r="C2" s="10" t="s">
        <v>175</v>
      </c>
      <c r="D2" s="10" t="s">
        <v>76</v>
      </c>
      <c r="E2" s="20">
        <f t="shared" ref="E2:E23" si="0">IF(OR(C2="Absent",D2="Absent",C2="",D2=""),"", (D2-C2)*1440)</f>
        <v>517.99999999999989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21">
        <v>480</v>
      </c>
    </row>
    <row r="3" spans="1:10" x14ac:dyDescent="0.25">
      <c r="A3" s="12" t="s">
        <v>286</v>
      </c>
      <c r="B3" s="12" t="s">
        <v>17</v>
      </c>
      <c r="C3" s="12" t="s">
        <v>175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286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25">
      <c r="A5" s="12" t="s">
        <v>286</v>
      </c>
      <c r="B5" s="12" t="s">
        <v>22</v>
      </c>
      <c r="C5" s="12" t="s">
        <v>46</v>
      </c>
      <c r="D5" s="12" t="s">
        <v>27</v>
      </c>
      <c r="E5" s="1" t="str">
        <f t="shared" si="0"/>
        <v/>
      </c>
      <c r="F5" s="4" t="str">
        <f t="shared" si="1"/>
        <v/>
      </c>
      <c r="G5" s="2" t="e">
        <f t="shared" si="2"/>
        <v>#VALUE!</v>
      </c>
      <c r="H5" s="4" t="str">
        <f t="shared" si="3"/>
        <v>Absent</v>
      </c>
      <c r="I5" s="5">
        <v>480</v>
      </c>
    </row>
    <row r="6" spans="1:10" x14ac:dyDescent="0.25">
      <c r="A6" s="10" t="s">
        <v>286</v>
      </c>
      <c r="B6" s="10" t="s">
        <v>25</v>
      </c>
      <c r="C6" s="10" t="s">
        <v>46</v>
      </c>
      <c r="D6" s="10" t="s">
        <v>27</v>
      </c>
      <c r="E6" s="20" t="str">
        <f t="shared" si="0"/>
        <v/>
      </c>
      <c r="F6" s="20" t="str">
        <f t="shared" si="1"/>
        <v/>
      </c>
      <c r="G6" s="20" t="e">
        <f t="shared" si="2"/>
        <v>#VALUE!</v>
      </c>
      <c r="H6" s="21" t="str">
        <f t="shared" si="3"/>
        <v>Absent</v>
      </c>
      <c r="I6" s="21">
        <v>480</v>
      </c>
    </row>
    <row r="7" spans="1:10" x14ac:dyDescent="0.25">
      <c r="A7" s="12" t="s">
        <v>286</v>
      </c>
      <c r="B7" s="12" t="s">
        <v>28</v>
      </c>
      <c r="C7" s="12" t="s">
        <v>46</v>
      </c>
      <c r="D7" s="12" t="s">
        <v>27</v>
      </c>
      <c r="E7" s="1" t="str">
        <f t="shared" si="0"/>
        <v/>
      </c>
      <c r="F7" s="4" t="str">
        <f t="shared" si="1"/>
        <v/>
      </c>
      <c r="G7" s="2" t="e">
        <f t="shared" si="2"/>
        <v>#VALUE!</v>
      </c>
      <c r="H7" s="4" t="str">
        <f t="shared" si="3"/>
        <v>Absent</v>
      </c>
      <c r="I7" s="5">
        <v>480</v>
      </c>
    </row>
    <row r="8" spans="1:10" x14ac:dyDescent="0.25">
      <c r="A8" s="10" t="s">
        <v>286</v>
      </c>
      <c r="B8" s="10" t="s">
        <v>31</v>
      </c>
      <c r="C8" s="10" t="s">
        <v>46</v>
      </c>
      <c r="D8" s="10" t="s">
        <v>27</v>
      </c>
      <c r="E8" s="20" t="str">
        <f t="shared" si="0"/>
        <v/>
      </c>
      <c r="F8" s="20" t="str">
        <f t="shared" si="1"/>
        <v/>
      </c>
      <c r="G8" s="20" t="e">
        <f t="shared" si="2"/>
        <v>#VALUE!</v>
      </c>
      <c r="H8" s="21" t="str">
        <f t="shared" si="3"/>
        <v>Absent</v>
      </c>
      <c r="I8" s="21">
        <v>480</v>
      </c>
    </row>
    <row r="9" spans="1:10" x14ac:dyDescent="0.25">
      <c r="A9" s="12" t="s">
        <v>286</v>
      </c>
      <c r="B9" s="12" t="s">
        <v>34</v>
      </c>
      <c r="C9" s="12" t="s">
        <v>46</v>
      </c>
      <c r="D9" s="12" t="s">
        <v>27</v>
      </c>
      <c r="E9" s="1" t="str">
        <f t="shared" si="0"/>
        <v/>
      </c>
      <c r="F9" s="4" t="str">
        <f t="shared" si="1"/>
        <v/>
      </c>
      <c r="G9" s="2" t="e">
        <f t="shared" si="2"/>
        <v>#VALUE!</v>
      </c>
      <c r="H9" s="4" t="str">
        <f t="shared" si="3"/>
        <v>Absent</v>
      </c>
      <c r="I9" s="5">
        <v>480</v>
      </c>
    </row>
    <row r="10" spans="1:10" x14ac:dyDescent="0.25">
      <c r="A10" s="10" t="s">
        <v>286</v>
      </c>
      <c r="B10" s="10" t="s">
        <v>36</v>
      </c>
      <c r="C10" s="10" t="s">
        <v>46</v>
      </c>
      <c r="D10" s="10" t="s">
        <v>27</v>
      </c>
      <c r="E10" s="20" t="str">
        <f t="shared" si="0"/>
        <v/>
      </c>
      <c r="F10" s="20" t="str">
        <f t="shared" si="1"/>
        <v/>
      </c>
      <c r="G10" s="20" t="e">
        <f t="shared" si="2"/>
        <v>#VALUE!</v>
      </c>
      <c r="H10" s="21" t="str">
        <f t="shared" si="3"/>
        <v>Absent</v>
      </c>
      <c r="I10" s="21">
        <v>480</v>
      </c>
    </row>
    <row r="11" spans="1:10" x14ac:dyDescent="0.25">
      <c r="A11" s="12" t="s">
        <v>286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s="4" t="str">
        <f t="shared" si="1"/>
        <v/>
      </c>
      <c r="G11" s="2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25">
      <c r="A12" s="10" t="s">
        <v>286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25">
      <c r="A13" s="12" t="s">
        <v>286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4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25">
      <c r="A14" s="10" t="s">
        <v>286</v>
      </c>
      <c r="B14" s="10" t="s">
        <v>45</v>
      </c>
      <c r="C14" s="10" t="s">
        <v>176</v>
      </c>
      <c r="D14" s="10" t="s">
        <v>177</v>
      </c>
      <c r="E14" s="20">
        <f t="shared" si="0"/>
        <v>514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25">
      <c r="A15" s="12" t="s">
        <v>286</v>
      </c>
      <c r="B15" s="12" t="s">
        <v>47</v>
      </c>
      <c r="C15" s="12" t="s">
        <v>141</v>
      </c>
      <c r="D15" s="12" t="s">
        <v>178</v>
      </c>
      <c r="E15" s="1">
        <f t="shared" si="0"/>
        <v>549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25">
      <c r="A16" s="10" t="s">
        <v>286</v>
      </c>
      <c r="B16" s="10" t="s">
        <v>49</v>
      </c>
      <c r="C16" s="10" t="s">
        <v>179</v>
      </c>
      <c r="D16" s="10" t="s">
        <v>96</v>
      </c>
      <c r="E16" s="20">
        <f t="shared" si="0"/>
        <v>503</v>
      </c>
      <c r="F16" s="20">
        <f t="shared" si="1"/>
        <v>0</v>
      </c>
      <c r="G16" s="20">
        <f t="shared" si="2"/>
        <v>0</v>
      </c>
      <c r="H16" s="21" t="str">
        <f t="shared" si="3"/>
        <v>Early</v>
      </c>
      <c r="I16" s="21">
        <v>480</v>
      </c>
    </row>
    <row r="17" spans="1:9" x14ac:dyDescent="0.25">
      <c r="A17" s="12" t="s">
        <v>286</v>
      </c>
      <c r="B17" s="12" t="s">
        <v>50</v>
      </c>
      <c r="C17" s="12" t="s">
        <v>176</v>
      </c>
      <c r="D17" s="12" t="s">
        <v>161</v>
      </c>
      <c r="E17" s="1">
        <f t="shared" si="0"/>
        <v>560</v>
      </c>
      <c r="F17" s="4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25">
      <c r="A18" s="10" t="s">
        <v>286</v>
      </c>
      <c r="B18" s="10" t="s">
        <v>52</v>
      </c>
      <c r="C18" s="10" t="s">
        <v>112</v>
      </c>
      <c r="D18" s="10" t="s">
        <v>93</v>
      </c>
      <c r="E18" s="20">
        <f t="shared" si="0"/>
        <v>483.99999999999994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25">
      <c r="A19" s="12" t="s">
        <v>286</v>
      </c>
      <c r="B19" s="12" t="s">
        <v>54</v>
      </c>
      <c r="C19" s="12" t="s">
        <v>154</v>
      </c>
      <c r="D19" s="12" t="s">
        <v>180</v>
      </c>
      <c r="E19" s="1">
        <f t="shared" si="0"/>
        <v>512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286</v>
      </c>
      <c r="B20" s="10" t="s">
        <v>57</v>
      </c>
      <c r="C20" s="10" t="s">
        <v>181</v>
      </c>
      <c r="D20" s="10" t="s">
        <v>56</v>
      </c>
      <c r="E20" s="20">
        <f t="shared" si="0"/>
        <v>592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25">
      <c r="A21" s="12" t="s">
        <v>286</v>
      </c>
      <c r="B21" s="12" t="s">
        <v>60</v>
      </c>
      <c r="C21" s="12" t="s">
        <v>182</v>
      </c>
      <c r="D21" s="12" t="s">
        <v>65</v>
      </c>
      <c r="E21" s="1">
        <f t="shared" si="0"/>
        <v>610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25">
      <c r="A22" s="10" t="s">
        <v>286</v>
      </c>
      <c r="B22" s="10" t="s">
        <v>63</v>
      </c>
      <c r="C22" s="10" t="s">
        <v>144</v>
      </c>
      <c r="D22" s="10" t="s">
        <v>157</v>
      </c>
      <c r="E22" s="20">
        <f t="shared" si="0"/>
        <v>575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25">
      <c r="A23" s="12" t="s">
        <v>286</v>
      </c>
      <c r="B23" s="12" t="s">
        <v>66</v>
      </c>
      <c r="C23" s="12" t="s">
        <v>183</v>
      </c>
      <c r="D23" s="12" t="s">
        <v>184</v>
      </c>
      <c r="E23" s="1">
        <f t="shared" si="0"/>
        <v>602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:J23"/>
  <sheetViews>
    <sheetView zoomScale="70" zoomScaleNormal="70" workbookViewId="0">
      <selection activeCell="A29" sqref="A29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3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285</v>
      </c>
      <c r="B2" s="10" t="s">
        <v>14</v>
      </c>
      <c r="C2" s="10" t="s">
        <v>135</v>
      </c>
      <c r="D2" s="10" t="s">
        <v>116</v>
      </c>
      <c r="E2" s="20">
        <f t="shared" ref="E2:E23" si="0">IF(OR(C2="Absent",D2="Absent",C2="",D2=""),"", (D2-C2)*1440)</f>
        <v>568.00000000000011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21">
        <v>480</v>
      </c>
    </row>
    <row r="3" spans="1:10" x14ac:dyDescent="0.25">
      <c r="A3" s="12" t="s">
        <v>285</v>
      </c>
      <c r="B3" s="12" t="s">
        <v>17</v>
      </c>
      <c r="C3" s="12" t="s">
        <v>185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285</v>
      </c>
      <c r="B4" s="10" t="s">
        <v>20</v>
      </c>
      <c r="C4" s="10" t="s">
        <v>186</v>
      </c>
      <c r="D4" s="10" t="s">
        <v>187</v>
      </c>
      <c r="E4" s="20">
        <f t="shared" si="0"/>
        <v>640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25">
      <c r="A5" s="12" t="s">
        <v>285</v>
      </c>
      <c r="B5" s="12" t="s">
        <v>22</v>
      </c>
      <c r="C5" s="12" t="s">
        <v>185</v>
      </c>
      <c r="D5" s="12" t="s">
        <v>119</v>
      </c>
      <c r="E5" s="1">
        <f t="shared" si="0"/>
        <v>588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25">
      <c r="A6" s="10" t="s">
        <v>285</v>
      </c>
      <c r="B6" s="10" t="s">
        <v>25</v>
      </c>
      <c r="C6" s="10" t="s">
        <v>115</v>
      </c>
      <c r="D6" s="10" t="s">
        <v>188</v>
      </c>
      <c r="E6" s="20">
        <f t="shared" si="0"/>
        <v>614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25">
      <c r="A7" s="12" t="s">
        <v>285</v>
      </c>
      <c r="B7" s="12" t="s">
        <v>28</v>
      </c>
      <c r="C7" s="12" t="s">
        <v>145</v>
      </c>
      <c r="D7" s="12" t="s">
        <v>189</v>
      </c>
      <c r="E7" s="1">
        <f t="shared" si="0"/>
        <v>622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25">
      <c r="A8" s="10" t="s">
        <v>285</v>
      </c>
      <c r="B8" s="10" t="s">
        <v>31</v>
      </c>
      <c r="C8" s="10" t="s">
        <v>118</v>
      </c>
      <c r="D8" s="10" t="s">
        <v>27</v>
      </c>
      <c r="E8" s="20" t="e">
        <f t="shared" si="0"/>
        <v>#VALUE!</v>
      </c>
      <c r="F8" s="20">
        <f t="shared" si="1"/>
        <v>0</v>
      </c>
      <c r="G8" s="20" t="e">
        <f t="shared" si="2"/>
        <v>#VALUE!</v>
      </c>
      <c r="H8" s="21" t="str">
        <f t="shared" si="3"/>
        <v>Missing</v>
      </c>
      <c r="I8" s="21">
        <v>480</v>
      </c>
    </row>
    <row r="9" spans="1:10" x14ac:dyDescent="0.25">
      <c r="A9" s="12" t="s">
        <v>285</v>
      </c>
      <c r="B9" s="12" t="s">
        <v>34</v>
      </c>
      <c r="C9" s="12" t="s">
        <v>113</v>
      </c>
      <c r="D9" s="12" t="s">
        <v>190</v>
      </c>
      <c r="E9" s="1">
        <f t="shared" si="0"/>
        <v>551</v>
      </c>
      <c r="F9" s="4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285</v>
      </c>
      <c r="B10" s="10" t="s">
        <v>36</v>
      </c>
      <c r="C10" s="10" t="s">
        <v>124</v>
      </c>
      <c r="D10" s="10" t="s">
        <v>42</v>
      </c>
      <c r="E10" s="20">
        <f t="shared" si="0"/>
        <v>556.00000000000011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25">
      <c r="A11" s="12" t="s">
        <v>285</v>
      </c>
      <c r="B11" s="12" t="s">
        <v>38</v>
      </c>
      <c r="C11" s="12" t="s">
        <v>126</v>
      </c>
      <c r="D11" s="12" t="s">
        <v>169</v>
      </c>
      <c r="E11" s="1">
        <f t="shared" si="0"/>
        <v>510.00000000000011</v>
      </c>
      <c r="F11" s="4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</row>
    <row r="12" spans="1:10" x14ac:dyDescent="0.25">
      <c r="A12" s="10" t="s">
        <v>285</v>
      </c>
      <c r="B12" s="10" t="s">
        <v>40</v>
      </c>
      <c r="C12" s="10" t="s">
        <v>191</v>
      </c>
      <c r="D12" s="10" t="s">
        <v>101</v>
      </c>
      <c r="E12" s="20">
        <f t="shared" si="0"/>
        <v>567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25">
      <c r="A13" s="12" t="s">
        <v>285</v>
      </c>
      <c r="B13" s="12" t="s">
        <v>43</v>
      </c>
      <c r="C13" s="12" t="s">
        <v>134</v>
      </c>
      <c r="D13" s="12" t="s">
        <v>27</v>
      </c>
      <c r="E13" s="1" t="e">
        <f t="shared" si="0"/>
        <v>#VALUE!</v>
      </c>
      <c r="F13" s="4">
        <f t="shared" si="1"/>
        <v>0</v>
      </c>
      <c r="G13" s="2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25">
      <c r="A14" s="10" t="s">
        <v>285</v>
      </c>
      <c r="B14" s="10" t="s">
        <v>45</v>
      </c>
      <c r="C14" s="10" t="s">
        <v>134</v>
      </c>
      <c r="D14" s="10" t="s">
        <v>192</v>
      </c>
      <c r="E14" s="20">
        <f t="shared" si="0"/>
        <v>649.00000000000011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25">
      <c r="A15" s="12" t="s">
        <v>285</v>
      </c>
      <c r="B15" s="12" t="s">
        <v>47</v>
      </c>
      <c r="C15" s="12" t="s">
        <v>193</v>
      </c>
      <c r="D15" s="12" t="s">
        <v>194</v>
      </c>
      <c r="E15" s="1">
        <f t="shared" si="0"/>
        <v>586.99999999999989</v>
      </c>
      <c r="F15" s="4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25">
      <c r="A16" s="10" t="s">
        <v>285</v>
      </c>
      <c r="B16" s="10" t="s">
        <v>49</v>
      </c>
      <c r="C16" s="10" t="s">
        <v>195</v>
      </c>
      <c r="D16" s="10" t="s">
        <v>196</v>
      </c>
      <c r="E16" s="20">
        <f t="shared" si="0"/>
        <v>573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25">
      <c r="A17" s="12" t="s">
        <v>285</v>
      </c>
      <c r="B17" s="12" t="s">
        <v>50</v>
      </c>
      <c r="C17" s="12" t="s">
        <v>191</v>
      </c>
      <c r="D17" s="12" t="s">
        <v>197</v>
      </c>
      <c r="E17" s="1">
        <f t="shared" si="0"/>
        <v>578</v>
      </c>
      <c r="F17" s="4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25">
      <c r="A18" s="10" t="s">
        <v>285</v>
      </c>
      <c r="B18" s="10" t="s">
        <v>52</v>
      </c>
      <c r="C18" s="10" t="s">
        <v>198</v>
      </c>
      <c r="D18" s="10" t="s">
        <v>199</v>
      </c>
      <c r="E18" s="20">
        <f t="shared" si="0"/>
        <v>494.00000000000006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25">
      <c r="A19" s="12" t="s">
        <v>285</v>
      </c>
      <c r="B19" s="12" t="s">
        <v>54</v>
      </c>
      <c r="C19" s="12" t="s">
        <v>198</v>
      </c>
      <c r="D19" s="12" t="s">
        <v>24</v>
      </c>
      <c r="E19" s="1">
        <f t="shared" si="0"/>
        <v>519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285</v>
      </c>
      <c r="B20" s="10" t="s">
        <v>57</v>
      </c>
      <c r="C20" s="10" t="s">
        <v>129</v>
      </c>
      <c r="D20" s="10" t="s">
        <v>146</v>
      </c>
      <c r="E20" s="20">
        <f t="shared" si="0"/>
        <v>553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9" x14ac:dyDescent="0.25">
      <c r="A21" s="12" t="s">
        <v>285</v>
      </c>
      <c r="B21" s="12" t="s">
        <v>60</v>
      </c>
      <c r="C21" s="12" t="s">
        <v>193</v>
      </c>
      <c r="D21" s="12" t="s">
        <v>48</v>
      </c>
      <c r="E21" s="1">
        <f t="shared" si="0"/>
        <v>526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9" x14ac:dyDescent="0.25">
      <c r="A22" s="10" t="s">
        <v>285</v>
      </c>
      <c r="B22" s="10" t="s">
        <v>63</v>
      </c>
      <c r="C22" s="10" t="s">
        <v>183</v>
      </c>
      <c r="D22" s="10" t="s">
        <v>200</v>
      </c>
      <c r="E22" s="20">
        <f t="shared" si="0"/>
        <v>620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25">
      <c r="A23" s="12" t="s">
        <v>285</v>
      </c>
      <c r="B23" s="12" t="s">
        <v>66</v>
      </c>
      <c r="C23" s="12" t="s">
        <v>143</v>
      </c>
      <c r="D23" s="12" t="s">
        <v>152</v>
      </c>
      <c r="E23" s="1">
        <f t="shared" si="0"/>
        <v>530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4.855468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284</v>
      </c>
      <c r="B2" s="10" t="s">
        <v>14</v>
      </c>
      <c r="C2" s="10" t="s">
        <v>78</v>
      </c>
      <c r="D2" s="10" t="s">
        <v>88</v>
      </c>
      <c r="E2" s="20">
        <f t="shared" ref="E2:E23" si="0">IF(OR(C2="Absent",D2="Absent",C2="",D2=""),"", (D2-C2)*1440)</f>
        <v>485.00000000000011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25">
      <c r="A3" s="12" t="s">
        <v>284</v>
      </c>
      <c r="B3" s="12" t="s">
        <v>17</v>
      </c>
      <c r="C3" s="12" t="s">
        <v>113</v>
      </c>
      <c r="D3" s="12" t="s">
        <v>201</v>
      </c>
      <c r="E3" s="1">
        <f t="shared" si="0"/>
        <v>462.00000000000006</v>
      </c>
      <c r="F3" s="4">
        <f>IF(OR(C3="",C3="Absent"),"",
 MAX(0,(C3 - TIME(8,50,0))*1440))</f>
        <v>0</v>
      </c>
      <c r="G3" s="2">
        <f>IF(C3="","",
 MAX(0,480 - E3))</f>
        <v>17.999999999999943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284</v>
      </c>
      <c r="B4" s="10" t="s">
        <v>20</v>
      </c>
      <c r="C4" s="10" t="s">
        <v>202</v>
      </c>
      <c r="D4" s="10" t="s">
        <v>107</v>
      </c>
      <c r="E4" s="20">
        <f t="shared" si="0"/>
        <v>512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25">
      <c r="A5" s="12" t="s">
        <v>284</v>
      </c>
      <c r="B5" s="12" t="s">
        <v>22</v>
      </c>
      <c r="C5" s="12" t="s">
        <v>195</v>
      </c>
      <c r="D5" s="12" t="s">
        <v>19</v>
      </c>
      <c r="E5" s="1">
        <f t="shared" si="0"/>
        <v>526</v>
      </c>
      <c r="F5" s="4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284</v>
      </c>
      <c r="B6" s="10" t="s">
        <v>25</v>
      </c>
      <c r="C6" s="10" t="s">
        <v>154</v>
      </c>
      <c r="D6" s="10" t="s">
        <v>19</v>
      </c>
      <c r="E6" s="20">
        <f t="shared" si="0"/>
        <v>520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25">
      <c r="A7" s="12" t="s">
        <v>284</v>
      </c>
      <c r="B7" s="12" t="s">
        <v>28</v>
      </c>
      <c r="C7" s="12" t="s">
        <v>150</v>
      </c>
      <c r="D7" s="12" t="s">
        <v>165</v>
      </c>
      <c r="E7" s="1">
        <f t="shared" si="0"/>
        <v>502.00000000000006</v>
      </c>
      <c r="F7" s="1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25">
      <c r="A8" s="10" t="s">
        <v>284</v>
      </c>
      <c r="B8" s="10" t="s">
        <v>31</v>
      </c>
      <c r="C8" s="10" t="s">
        <v>186</v>
      </c>
      <c r="D8" s="10" t="s">
        <v>203</v>
      </c>
      <c r="E8" s="20">
        <f t="shared" si="0"/>
        <v>437.00000000000006</v>
      </c>
      <c r="F8" s="20">
        <f t="shared" si="1"/>
        <v>0</v>
      </c>
      <c r="G8" s="20">
        <f t="shared" si="2"/>
        <v>42.999999999999943</v>
      </c>
      <c r="H8" s="21" t="str">
        <f t="shared" si="3"/>
        <v>Early</v>
      </c>
      <c r="I8" s="21">
        <v>480</v>
      </c>
    </row>
    <row r="9" spans="1:10" x14ac:dyDescent="0.25">
      <c r="A9" s="12" t="s">
        <v>284</v>
      </c>
      <c r="B9" s="12" t="s">
        <v>34</v>
      </c>
      <c r="C9" s="12" t="s">
        <v>92</v>
      </c>
      <c r="D9" s="12" t="s">
        <v>172</v>
      </c>
      <c r="E9" s="1">
        <f t="shared" si="0"/>
        <v>509.00000000000006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284</v>
      </c>
      <c r="B10" s="10" t="s">
        <v>36</v>
      </c>
      <c r="C10" s="10" t="s">
        <v>202</v>
      </c>
      <c r="D10" s="10" t="s">
        <v>123</v>
      </c>
      <c r="E10" s="20">
        <f t="shared" si="0"/>
        <v>486.99999999999994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x14ac:dyDescent="0.25">
      <c r="A11" s="12" t="s">
        <v>284</v>
      </c>
      <c r="B11" s="12" t="s">
        <v>38</v>
      </c>
      <c r="C11" s="12" t="s">
        <v>193</v>
      </c>
      <c r="D11" s="12" t="s">
        <v>87</v>
      </c>
      <c r="E11" s="1">
        <f t="shared" si="0"/>
        <v>492.99999999999994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25">
      <c r="A12" s="10" t="s">
        <v>284</v>
      </c>
      <c r="B12" s="10" t="s">
        <v>40</v>
      </c>
      <c r="C12" s="10" t="s">
        <v>150</v>
      </c>
      <c r="D12" s="10" t="s">
        <v>79</v>
      </c>
      <c r="E12" s="20">
        <f t="shared" si="0"/>
        <v>489.99999999999994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</row>
    <row r="13" spans="1:10" x14ac:dyDescent="0.25">
      <c r="A13" s="12" t="s">
        <v>284</v>
      </c>
      <c r="B13" s="12" t="s">
        <v>43</v>
      </c>
      <c r="C13" s="12" t="s">
        <v>193</v>
      </c>
      <c r="D13" s="12" t="s">
        <v>119</v>
      </c>
      <c r="E13" s="1">
        <f t="shared" si="0"/>
        <v>569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25">
      <c r="A14" s="10" t="s">
        <v>284</v>
      </c>
      <c r="B14" s="10" t="s">
        <v>45</v>
      </c>
      <c r="C14" s="10" t="s">
        <v>121</v>
      </c>
      <c r="D14" s="10" t="s">
        <v>173</v>
      </c>
      <c r="E14" s="20">
        <f t="shared" si="0"/>
        <v>505.00000000000006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25">
      <c r="A15" s="12" t="s">
        <v>284</v>
      </c>
      <c r="B15" s="12" t="s">
        <v>47</v>
      </c>
      <c r="C15" s="12" t="s">
        <v>124</v>
      </c>
      <c r="D15" s="12" t="s">
        <v>204</v>
      </c>
      <c r="E15" s="1">
        <f t="shared" si="0"/>
        <v>551</v>
      </c>
      <c r="F15" s="1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25">
      <c r="A16" s="10" t="s">
        <v>284</v>
      </c>
      <c r="B16" s="10" t="s">
        <v>49</v>
      </c>
      <c r="C16" s="10" t="s">
        <v>115</v>
      </c>
      <c r="D16" s="10" t="s">
        <v>205</v>
      </c>
      <c r="E16" s="20">
        <f t="shared" si="0"/>
        <v>579</v>
      </c>
      <c r="F16" s="20">
        <f t="shared" si="1"/>
        <v>0</v>
      </c>
      <c r="G16" s="20">
        <f t="shared" si="2"/>
        <v>0</v>
      </c>
      <c r="H16" s="21" t="str">
        <f t="shared" si="3"/>
        <v>Early</v>
      </c>
      <c r="I16" s="21">
        <v>480</v>
      </c>
    </row>
    <row r="17" spans="1:9" x14ac:dyDescent="0.25">
      <c r="A17" s="12" t="s">
        <v>284</v>
      </c>
      <c r="B17" s="12" t="s">
        <v>50</v>
      </c>
      <c r="C17" s="12" t="s">
        <v>143</v>
      </c>
      <c r="D17" s="12" t="s">
        <v>161</v>
      </c>
      <c r="E17" s="1">
        <f t="shared" si="0"/>
        <v>571</v>
      </c>
      <c r="F17" s="1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25">
      <c r="A18" s="10" t="s">
        <v>284</v>
      </c>
      <c r="B18" s="10" t="s">
        <v>52</v>
      </c>
      <c r="C18" s="10" t="s">
        <v>126</v>
      </c>
      <c r="D18" s="10" t="s">
        <v>206</v>
      </c>
      <c r="E18" s="20">
        <f t="shared" si="0"/>
        <v>450</v>
      </c>
      <c r="F18" s="20">
        <f t="shared" si="1"/>
        <v>0</v>
      </c>
      <c r="G18" s="20">
        <f t="shared" si="2"/>
        <v>30</v>
      </c>
      <c r="H18" s="21" t="str">
        <f t="shared" si="3"/>
        <v>Early</v>
      </c>
      <c r="I18" s="21">
        <v>480</v>
      </c>
    </row>
    <row r="19" spans="1:9" x14ac:dyDescent="0.25">
      <c r="A19" s="12" t="s">
        <v>284</v>
      </c>
      <c r="B19" s="12" t="s">
        <v>54</v>
      </c>
      <c r="C19" s="12" t="s">
        <v>195</v>
      </c>
      <c r="D19" s="12" t="s">
        <v>142</v>
      </c>
      <c r="E19" s="1">
        <f t="shared" si="0"/>
        <v>493.99999999999994</v>
      </c>
      <c r="F19" s="1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284</v>
      </c>
      <c r="B20" s="10" t="s">
        <v>57</v>
      </c>
      <c r="C20" s="10" t="s">
        <v>198</v>
      </c>
      <c r="D20" s="10" t="s">
        <v>207</v>
      </c>
      <c r="E20" s="20">
        <f t="shared" si="0"/>
        <v>563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9" x14ac:dyDescent="0.25">
      <c r="A21" s="12" t="s">
        <v>284</v>
      </c>
      <c r="B21" s="12" t="s">
        <v>60</v>
      </c>
      <c r="C21" s="12" t="s">
        <v>112</v>
      </c>
      <c r="D21" s="12" t="s">
        <v>208</v>
      </c>
      <c r="E21" s="1">
        <f t="shared" si="0"/>
        <v>557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9" x14ac:dyDescent="0.25">
      <c r="A22" s="10" t="s">
        <v>284</v>
      </c>
      <c r="B22" s="10" t="s">
        <v>63</v>
      </c>
      <c r="C22" s="10" t="s">
        <v>202</v>
      </c>
      <c r="D22" s="10" t="s">
        <v>157</v>
      </c>
      <c r="E22" s="20">
        <f t="shared" si="0"/>
        <v>558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9" x14ac:dyDescent="0.25">
      <c r="A23" s="12" t="s">
        <v>284</v>
      </c>
      <c r="B23" s="12" t="s">
        <v>66</v>
      </c>
      <c r="C23" s="12" t="s">
        <v>195</v>
      </c>
      <c r="D23" s="12" t="s">
        <v>209</v>
      </c>
      <c r="E23" s="1">
        <f t="shared" si="0"/>
        <v>589.00000000000011</v>
      </c>
      <c r="F23" s="4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/>
  <dimension ref="A1:J34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3.57031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283</v>
      </c>
      <c r="B2" s="10" t="s">
        <v>14</v>
      </c>
      <c r="C2" s="10" t="s">
        <v>210</v>
      </c>
      <c r="D2" s="10" t="s">
        <v>130</v>
      </c>
      <c r="E2" s="20">
        <f t="shared" ref="E2:E23" si="0">IF(OR(C2="Absent",D2="Absent",C2="",D2=""),"", (D2-C2)*1440)</f>
        <v>487</v>
      </c>
      <c r="F2" s="20">
        <f>IF(OR(C2="",C2="Absent"),"",
 MAX(0,(C2 - TIME(8,50,0))*1440))</f>
        <v>3.9999999999999858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  <c r="J2" s="25"/>
    </row>
    <row r="3" spans="1:10" x14ac:dyDescent="0.25">
      <c r="A3" s="12" t="s">
        <v>283</v>
      </c>
      <c r="B3" s="12" t="s">
        <v>17</v>
      </c>
      <c r="C3" s="12" t="s">
        <v>210</v>
      </c>
      <c r="D3" s="12" t="s">
        <v>211</v>
      </c>
      <c r="E3" s="1">
        <f t="shared" si="0"/>
        <v>488</v>
      </c>
      <c r="F3">
        <f>IF(OR(C3="",C3="Absent"),"",
 MAX(0,(C3 - TIME(8,50,0))*1440))</f>
        <v>3.9999999999999858</v>
      </c>
      <c r="G3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283</v>
      </c>
      <c r="B4" s="10" t="s">
        <v>20</v>
      </c>
      <c r="C4" s="10" t="s">
        <v>104</v>
      </c>
      <c r="D4" s="10" t="s">
        <v>212</v>
      </c>
      <c r="E4" s="20">
        <f t="shared" si="0"/>
        <v>481.00000000000006</v>
      </c>
      <c r="F4" s="20">
        <f t="shared" ref="F4:F23" si="1">IF(OR(C4="",C4="Absent"),"",
MAX(0,(C4 - TIME(8,50,0))*1440))</f>
        <v>8.999999999999968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283</v>
      </c>
      <c r="B5" s="12" t="s">
        <v>22</v>
      </c>
      <c r="C5" s="12" t="s">
        <v>213</v>
      </c>
      <c r="D5" s="12" t="s">
        <v>212</v>
      </c>
      <c r="E5" s="1">
        <f t="shared" si="0"/>
        <v>474.00000000000006</v>
      </c>
      <c r="F5">
        <f t="shared" si="1"/>
        <v>15.999999999999943</v>
      </c>
      <c r="G5">
        <f t="shared" si="2"/>
        <v>5.9999999999999432</v>
      </c>
      <c r="H5" s="4" t="str">
        <f t="shared" si="3"/>
        <v>Late</v>
      </c>
      <c r="I5" s="5">
        <v>480</v>
      </c>
    </row>
    <row r="6" spans="1:10" x14ac:dyDescent="0.25">
      <c r="A6" s="10" t="s">
        <v>283</v>
      </c>
      <c r="B6" s="10" t="s">
        <v>25</v>
      </c>
      <c r="C6" s="10" t="s">
        <v>164</v>
      </c>
      <c r="D6" s="10" t="s">
        <v>211</v>
      </c>
      <c r="E6" s="20">
        <f t="shared" si="0"/>
        <v>480.00000000000006</v>
      </c>
      <c r="F6" s="20">
        <f t="shared" si="1"/>
        <v>11.999999999999957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283</v>
      </c>
      <c r="B7" s="12" t="s">
        <v>28</v>
      </c>
      <c r="C7" s="12" t="s">
        <v>170</v>
      </c>
      <c r="D7" s="12" t="s">
        <v>211</v>
      </c>
      <c r="E7" s="1">
        <f t="shared" si="0"/>
        <v>473.00000000000006</v>
      </c>
      <c r="F7">
        <f t="shared" si="1"/>
        <v>18.999999999999932</v>
      </c>
      <c r="G7">
        <f t="shared" si="2"/>
        <v>6.9999999999999432</v>
      </c>
      <c r="H7" s="4" t="str">
        <f t="shared" si="3"/>
        <v>Late</v>
      </c>
      <c r="I7" s="5">
        <v>480</v>
      </c>
    </row>
    <row r="8" spans="1:10" x14ac:dyDescent="0.25">
      <c r="A8" s="10" t="s">
        <v>283</v>
      </c>
      <c r="B8" s="10" t="s">
        <v>31</v>
      </c>
      <c r="C8" s="10" t="s">
        <v>69</v>
      </c>
      <c r="D8" s="10" t="s">
        <v>130</v>
      </c>
      <c r="E8" s="20">
        <f t="shared" si="0"/>
        <v>480.00000000000006</v>
      </c>
      <c r="F8" s="20">
        <f t="shared" si="1"/>
        <v>10.999999999999961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283</v>
      </c>
      <c r="B9" s="12" t="s">
        <v>34</v>
      </c>
      <c r="C9" s="12" t="s">
        <v>18</v>
      </c>
      <c r="D9" s="12" t="s">
        <v>211</v>
      </c>
      <c r="E9" s="1">
        <f t="shared" si="0"/>
        <v>474.00000000000006</v>
      </c>
      <c r="F9">
        <f t="shared" si="1"/>
        <v>17.999999999999936</v>
      </c>
      <c r="G9">
        <f t="shared" si="2"/>
        <v>5.9999999999999432</v>
      </c>
      <c r="H9" s="4" t="str">
        <f t="shared" si="3"/>
        <v>Late</v>
      </c>
      <c r="I9" s="5">
        <v>480</v>
      </c>
    </row>
    <row r="10" spans="1:10" x14ac:dyDescent="0.25">
      <c r="A10" s="10" t="s">
        <v>283</v>
      </c>
      <c r="B10" s="10" t="s">
        <v>36</v>
      </c>
      <c r="C10" s="10" t="s">
        <v>214</v>
      </c>
      <c r="D10" s="10" t="s">
        <v>130</v>
      </c>
      <c r="E10" s="20">
        <f t="shared" si="0"/>
        <v>481.00000000000006</v>
      </c>
      <c r="F10" s="20">
        <f t="shared" si="1"/>
        <v>9.9999999999999645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283</v>
      </c>
      <c r="B11" s="12" t="s">
        <v>38</v>
      </c>
      <c r="C11" s="12" t="s">
        <v>162</v>
      </c>
      <c r="D11" s="12" t="s">
        <v>130</v>
      </c>
      <c r="E11" s="1">
        <f t="shared" si="0"/>
        <v>483.00000000000006</v>
      </c>
      <c r="F11">
        <f t="shared" si="1"/>
        <v>7.9999999999999716</v>
      </c>
      <c r="G11">
        <f t="shared" si="2"/>
        <v>0</v>
      </c>
      <c r="H11" s="4" t="str">
        <f t="shared" si="3"/>
        <v>Late</v>
      </c>
      <c r="I11" s="5">
        <v>480</v>
      </c>
    </row>
    <row r="12" spans="1:10" x14ac:dyDescent="0.25">
      <c r="A12" s="10" t="s">
        <v>283</v>
      </c>
      <c r="B12" s="10" t="s">
        <v>40</v>
      </c>
      <c r="C12" s="10" t="s">
        <v>104</v>
      </c>
      <c r="D12" s="10" t="s">
        <v>130</v>
      </c>
      <c r="E12" s="20">
        <f t="shared" si="0"/>
        <v>482.00000000000006</v>
      </c>
      <c r="F12" s="20">
        <f t="shared" si="1"/>
        <v>8.999999999999968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25">
      <c r="A13" s="12" t="s">
        <v>283</v>
      </c>
      <c r="B13" s="12" t="s">
        <v>43</v>
      </c>
      <c r="C13" s="12" t="s">
        <v>104</v>
      </c>
      <c r="D13" s="12" t="s">
        <v>212</v>
      </c>
      <c r="E13" s="1">
        <f t="shared" si="0"/>
        <v>481.00000000000006</v>
      </c>
      <c r="F13">
        <f t="shared" si="1"/>
        <v>8.999999999999968</v>
      </c>
      <c r="G13">
        <f t="shared" si="2"/>
        <v>0</v>
      </c>
      <c r="H13" s="4" t="str">
        <f t="shared" si="3"/>
        <v>Late</v>
      </c>
      <c r="I13" s="5">
        <v>480</v>
      </c>
    </row>
    <row r="14" spans="1:10" x14ac:dyDescent="0.25">
      <c r="A14" s="10" t="s">
        <v>283</v>
      </c>
      <c r="B14" s="10" t="s">
        <v>45</v>
      </c>
      <c r="C14" s="10" t="s">
        <v>164</v>
      </c>
      <c r="D14" s="10" t="s">
        <v>211</v>
      </c>
      <c r="E14" s="20">
        <f t="shared" si="0"/>
        <v>480.00000000000006</v>
      </c>
      <c r="F14" s="20">
        <f t="shared" si="1"/>
        <v>11.999999999999957</v>
      </c>
      <c r="G14" s="20">
        <f t="shared" si="2"/>
        <v>0</v>
      </c>
      <c r="H14" s="21" t="str">
        <f t="shared" si="3"/>
        <v>Late</v>
      </c>
      <c r="I14" s="21">
        <v>480</v>
      </c>
    </row>
    <row r="15" spans="1:10" x14ac:dyDescent="0.25">
      <c r="A15" s="12" t="s">
        <v>283</v>
      </c>
      <c r="B15" s="12" t="s">
        <v>47</v>
      </c>
      <c r="C15" s="12" t="s">
        <v>214</v>
      </c>
      <c r="D15" s="12" t="s">
        <v>211</v>
      </c>
      <c r="E15" s="1">
        <f t="shared" si="0"/>
        <v>482.00000000000006</v>
      </c>
      <c r="F15">
        <f t="shared" si="1"/>
        <v>9.9999999999999645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283</v>
      </c>
      <c r="B16" s="10" t="s">
        <v>49</v>
      </c>
      <c r="C16" s="10" t="s">
        <v>215</v>
      </c>
      <c r="D16" s="10" t="s">
        <v>211</v>
      </c>
      <c r="E16" s="20">
        <f t="shared" si="0"/>
        <v>485.00000000000006</v>
      </c>
      <c r="F16" s="20">
        <f t="shared" si="1"/>
        <v>6.9999999999999751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283</v>
      </c>
      <c r="B17" s="12" t="s">
        <v>50</v>
      </c>
      <c r="C17" s="12" t="s">
        <v>69</v>
      </c>
      <c r="D17" s="12" t="s">
        <v>130</v>
      </c>
      <c r="E17" s="1">
        <f t="shared" si="0"/>
        <v>480.00000000000006</v>
      </c>
      <c r="F17">
        <f t="shared" si="1"/>
        <v>10.999999999999961</v>
      </c>
      <c r="G17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283</v>
      </c>
      <c r="B18" s="10" t="s">
        <v>52</v>
      </c>
      <c r="C18" s="10" t="s">
        <v>69</v>
      </c>
      <c r="D18" s="10" t="s">
        <v>130</v>
      </c>
      <c r="E18" s="20">
        <f t="shared" si="0"/>
        <v>480.00000000000006</v>
      </c>
      <c r="F18" s="20">
        <f t="shared" si="1"/>
        <v>10.999999999999961</v>
      </c>
      <c r="G18" s="20">
        <f t="shared" si="2"/>
        <v>0</v>
      </c>
      <c r="H18" s="21" t="str">
        <f t="shared" si="3"/>
        <v>Late</v>
      </c>
      <c r="I18" s="21">
        <v>480</v>
      </c>
    </row>
    <row r="19" spans="1:9" x14ac:dyDescent="0.25">
      <c r="A19" s="12" t="s">
        <v>283</v>
      </c>
      <c r="B19" s="12" t="s">
        <v>54</v>
      </c>
      <c r="C19" s="12" t="s">
        <v>213</v>
      </c>
      <c r="D19" s="12" t="s">
        <v>212</v>
      </c>
      <c r="E19" s="1">
        <f t="shared" si="0"/>
        <v>474.00000000000006</v>
      </c>
      <c r="F19">
        <f t="shared" si="1"/>
        <v>15.999999999999943</v>
      </c>
      <c r="G19">
        <f t="shared" si="2"/>
        <v>5.9999999999999432</v>
      </c>
      <c r="H19" s="4" t="str">
        <f t="shared" si="3"/>
        <v>Late</v>
      </c>
      <c r="I19" s="5">
        <v>480</v>
      </c>
    </row>
    <row r="20" spans="1:9" x14ac:dyDescent="0.25">
      <c r="A20" s="10" t="s">
        <v>283</v>
      </c>
      <c r="B20" s="10" t="s">
        <v>57</v>
      </c>
      <c r="C20" s="10" t="s">
        <v>29</v>
      </c>
      <c r="D20" s="10" t="s">
        <v>211</v>
      </c>
      <c r="E20" s="20">
        <f t="shared" si="0"/>
        <v>478.00000000000006</v>
      </c>
      <c r="F20" s="20">
        <f t="shared" si="1"/>
        <v>13.99999999999995</v>
      </c>
      <c r="G20" s="20">
        <f t="shared" si="2"/>
        <v>1.9999999999999432</v>
      </c>
      <c r="H20" s="21" t="str">
        <f t="shared" si="3"/>
        <v>Late</v>
      </c>
      <c r="I20" s="21">
        <v>480</v>
      </c>
    </row>
    <row r="21" spans="1:9" x14ac:dyDescent="0.25">
      <c r="A21" s="12" t="s">
        <v>283</v>
      </c>
      <c r="B21" s="12" t="s">
        <v>60</v>
      </c>
      <c r="C21" s="12" t="s">
        <v>15</v>
      </c>
      <c r="D21" s="12" t="s">
        <v>211</v>
      </c>
      <c r="E21" s="1">
        <f t="shared" si="0"/>
        <v>479.00000000000006</v>
      </c>
      <c r="F21">
        <f t="shared" si="1"/>
        <v>12.999999999999954</v>
      </c>
      <c r="G21">
        <f t="shared" si="2"/>
        <v>0.99999999999994316</v>
      </c>
      <c r="H21" s="4" t="str">
        <f t="shared" si="3"/>
        <v>Late</v>
      </c>
      <c r="I21" s="5">
        <v>480</v>
      </c>
    </row>
    <row r="22" spans="1:9" x14ac:dyDescent="0.25">
      <c r="A22" s="10" t="s">
        <v>283</v>
      </c>
      <c r="B22" s="10" t="s">
        <v>63</v>
      </c>
      <c r="C22" s="10" t="s">
        <v>164</v>
      </c>
      <c r="D22" s="10" t="s">
        <v>130</v>
      </c>
      <c r="E22" s="20">
        <f t="shared" si="0"/>
        <v>479.00000000000006</v>
      </c>
      <c r="F22" s="20">
        <f t="shared" si="1"/>
        <v>11.999999999999957</v>
      </c>
      <c r="G22" s="20">
        <f t="shared" si="2"/>
        <v>0.99999999999994316</v>
      </c>
      <c r="H22" s="21" t="str">
        <f t="shared" si="3"/>
        <v>Late</v>
      </c>
      <c r="I22" s="21">
        <v>480</v>
      </c>
    </row>
    <row r="23" spans="1:9" x14ac:dyDescent="0.25">
      <c r="A23" s="12" t="s">
        <v>283</v>
      </c>
      <c r="B23" s="12" t="s">
        <v>66</v>
      </c>
      <c r="C23" s="12" t="s">
        <v>69</v>
      </c>
      <c r="D23" s="12" t="s">
        <v>142</v>
      </c>
      <c r="E23" s="1">
        <f t="shared" si="0"/>
        <v>469.99999999999994</v>
      </c>
      <c r="F23">
        <f t="shared" si="1"/>
        <v>10.999999999999961</v>
      </c>
      <c r="G23">
        <f t="shared" si="2"/>
        <v>10.000000000000057</v>
      </c>
      <c r="H23" s="4" t="str">
        <f t="shared" si="3"/>
        <v>Late</v>
      </c>
      <c r="I23" s="5">
        <v>480</v>
      </c>
    </row>
    <row r="24" spans="1:9" ht="1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</row>
    <row r="25" spans="1:9" x14ac:dyDescent="0.25">
      <c r="A25" s="25"/>
      <c r="B25" s="25"/>
      <c r="C25" s="25"/>
      <c r="D25" s="25"/>
      <c r="E25" s="25"/>
      <c r="F25" s="25"/>
      <c r="G25" s="25"/>
      <c r="H25" s="25"/>
      <c r="I25" s="25"/>
    </row>
    <row r="26" spans="1:9" x14ac:dyDescent="0.25">
      <c r="A26" s="25"/>
      <c r="B26" s="25"/>
      <c r="C26" s="25"/>
      <c r="D26" s="25"/>
      <c r="E26" s="25"/>
      <c r="F26" s="25"/>
      <c r="G26" s="25"/>
      <c r="H26" s="25"/>
      <c r="I26" s="25"/>
    </row>
    <row r="27" spans="1:9" x14ac:dyDescent="0.25">
      <c r="A27" s="25"/>
      <c r="B27" s="25"/>
      <c r="C27" s="25"/>
      <c r="D27" s="25"/>
      <c r="E27" s="25"/>
      <c r="F27" s="25"/>
      <c r="G27" s="25"/>
      <c r="H27" s="25"/>
      <c r="I27" s="25"/>
    </row>
    <row r="28" spans="1:9" x14ac:dyDescent="0.25">
      <c r="A28" s="25"/>
      <c r="B28" s="25"/>
      <c r="C28" s="25"/>
      <c r="D28" s="25"/>
      <c r="E28" s="25"/>
      <c r="F28" s="25"/>
      <c r="G28" s="25"/>
      <c r="H28" s="25"/>
      <c r="I28" s="25"/>
    </row>
    <row r="29" spans="1:9" x14ac:dyDescent="0.25">
      <c r="A29" s="25"/>
      <c r="B29" s="25"/>
      <c r="C29" s="25"/>
      <c r="D29" s="25"/>
      <c r="E29" s="25"/>
      <c r="F29" s="25"/>
      <c r="G29" s="25"/>
      <c r="H29" s="25"/>
      <c r="I29" s="25"/>
    </row>
    <row r="30" spans="1:9" x14ac:dyDescent="0.25">
      <c r="A30" s="25"/>
      <c r="B30" s="25"/>
      <c r="C30" s="25"/>
      <c r="D30" s="25"/>
      <c r="E30" s="25"/>
      <c r="F30" s="25"/>
      <c r="G30" s="25"/>
      <c r="H30" s="25"/>
      <c r="I30" s="25"/>
    </row>
    <row r="31" spans="1:9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9" x14ac:dyDescent="0.25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25">
      <c r="A33" s="25"/>
      <c r="B33" s="25"/>
      <c r="C33" s="25"/>
      <c r="D33" s="25"/>
      <c r="E33" s="25"/>
      <c r="F33" s="25"/>
      <c r="G33" s="25"/>
      <c r="H33" s="25"/>
      <c r="I33" s="25"/>
    </row>
    <row r="34" spans="1:9" x14ac:dyDescent="0.25">
      <c r="A34" s="25"/>
      <c r="B34" s="25"/>
      <c r="C34" s="25"/>
      <c r="D34" s="25"/>
      <c r="E34" s="25"/>
      <c r="F34" s="25"/>
      <c r="G34" s="25"/>
      <c r="H34" s="25"/>
      <c r="I34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/>
  <dimension ref="A1:J23"/>
  <sheetViews>
    <sheetView zoomScale="70" zoomScaleNormal="70" workbookViewId="0">
      <selection activeCell="J15" sqref="J2:J15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1.855468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282</v>
      </c>
      <c r="B2" s="10" t="s">
        <v>14</v>
      </c>
      <c r="C2" s="10" t="s">
        <v>46</v>
      </c>
      <c r="D2" s="10" t="s">
        <v>27</v>
      </c>
      <c r="E2" s="20" t="str">
        <f t="shared" ref="E2:E23" si="0">IF(OR(C2="Absent",D2="Absent",C2="",D2=""),"", (D2-C2)*1440)</f>
        <v/>
      </c>
      <c r="F2" s="20" t="str">
        <f>IF(OR(C2="",C2="Absent"),"",
 MAX(0,(C2 - TIME(8,50,0))*1440))</f>
        <v/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Absent</v>
      </c>
      <c r="I2" s="21">
        <v>480</v>
      </c>
    </row>
    <row r="3" spans="1:10" x14ac:dyDescent="0.25">
      <c r="A3" s="12" t="s">
        <v>282</v>
      </c>
      <c r="B3" s="12" t="s">
        <v>17</v>
      </c>
      <c r="C3" s="12" t="s">
        <v>18</v>
      </c>
      <c r="D3" s="12" t="s">
        <v>165</v>
      </c>
      <c r="E3" s="1">
        <f t="shared" si="0"/>
        <v>476.00000000000006</v>
      </c>
      <c r="F3">
        <f>IF(OR(C3="",C3="Absent"),"",
 MAX(0,(C3 - TIME(8,50,0))*1440))</f>
        <v>17.999999999999936</v>
      </c>
      <c r="G3">
        <f>IF(C3="","",
 MAX(0,480 - E3))</f>
        <v>3.9999999999999432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282</v>
      </c>
      <c r="B4" s="10" t="s">
        <v>20</v>
      </c>
      <c r="C4" s="10" t="s">
        <v>21</v>
      </c>
      <c r="D4" s="10" t="s">
        <v>212</v>
      </c>
      <c r="E4" s="20">
        <f t="shared" si="0"/>
        <v>466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14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282</v>
      </c>
      <c r="B5" s="12" t="s">
        <v>22</v>
      </c>
      <c r="C5" s="12" t="s">
        <v>23</v>
      </c>
      <c r="D5" s="12" t="s">
        <v>24</v>
      </c>
      <c r="E5" s="1">
        <f t="shared" si="0"/>
        <v>485.99999999999994</v>
      </c>
      <c r="F5">
        <f t="shared" si="1"/>
        <v>23</v>
      </c>
      <c r="G5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282</v>
      </c>
      <c r="B6" s="10" t="s">
        <v>25</v>
      </c>
      <c r="C6" s="10" t="s">
        <v>97</v>
      </c>
      <c r="D6" s="10" t="s">
        <v>97</v>
      </c>
      <c r="E6" s="20">
        <f t="shared" si="0"/>
        <v>0</v>
      </c>
      <c r="F6" s="20">
        <f t="shared" si="1"/>
        <v>521.99999999999989</v>
      </c>
      <c r="G6" s="20">
        <f t="shared" si="2"/>
        <v>480</v>
      </c>
      <c r="H6" s="21" t="str">
        <f t="shared" si="3"/>
        <v>Late</v>
      </c>
      <c r="I6" s="21">
        <v>480</v>
      </c>
    </row>
    <row r="7" spans="1:10" x14ac:dyDescent="0.25">
      <c r="A7" s="12" t="s">
        <v>282</v>
      </c>
      <c r="B7" s="12" t="s">
        <v>28</v>
      </c>
      <c r="C7" s="12" t="s">
        <v>29</v>
      </c>
      <c r="D7" s="12" t="s">
        <v>216</v>
      </c>
      <c r="E7" s="1">
        <f t="shared" si="0"/>
        <v>427.00000000000006</v>
      </c>
      <c r="F7">
        <f t="shared" si="1"/>
        <v>13.99999999999995</v>
      </c>
      <c r="G7">
        <f t="shared" si="2"/>
        <v>52.999999999999943</v>
      </c>
      <c r="H7" s="4" t="str">
        <f t="shared" si="3"/>
        <v>Late</v>
      </c>
      <c r="I7" s="5">
        <v>480</v>
      </c>
    </row>
    <row r="8" spans="1:10" x14ac:dyDescent="0.25">
      <c r="A8" s="10" t="s">
        <v>282</v>
      </c>
      <c r="B8" s="10" t="s">
        <v>31</v>
      </c>
      <c r="C8" s="10" t="s">
        <v>217</v>
      </c>
      <c r="D8" s="10" t="s">
        <v>218</v>
      </c>
      <c r="E8" s="20">
        <f t="shared" si="0"/>
        <v>489</v>
      </c>
      <c r="F8" s="20">
        <f t="shared" si="1"/>
        <v>46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282</v>
      </c>
      <c r="B9" s="12" t="s">
        <v>34</v>
      </c>
      <c r="C9" s="12" t="s">
        <v>35</v>
      </c>
      <c r="D9" s="12" t="s">
        <v>106</v>
      </c>
      <c r="E9" s="1">
        <f t="shared" si="0"/>
        <v>489</v>
      </c>
      <c r="F9">
        <f t="shared" si="1"/>
        <v>20.999999999999925</v>
      </c>
      <c r="G9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282</v>
      </c>
      <c r="B10" s="10" t="s">
        <v>36</v>
      </c>
      <c r="C10" s="10" t="s">
        <v>23</v>
      </c>
      <c r="D10" s="10" t="s">
        <v>219</v>
      </c>
      <c r="E10" s="20">
        <f t="shared" si="0"/>
        <v>363.99999999999989</v>
      </c>
      <c r="F10" s="20">
        <f t="shared" si="1"/>
        <v>23</v>
      </c>
      <c r="G10" s="20">
        <f t="shared" si="2"/>
        <v>116.00000000000011</v>
      </c>
      <c r="H10" s="21" t="str">
        <f t="shared" si="3"/>
        <v>Late</v>
      </c>
      <c r="I10" s="21">
        <v>480</v>
      </c>
    </row>
    <row r="11" spans="1:10" x14ac:dyDescent="0.25">
      <c r="A11" s="12" t="s">
        <v>282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t="str">
        <f t="shared" si="1"/>
        <v/>
      </c>
      <c r="G11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25">
      <c r="A12" s="10" t="s">
        <v>282</v>
      </c>
      <c r="B12" s="10" t="s">
        <v>40</v>
      </c>
      <c r="C12" s="10" t="s">
        <v>41</v>
      </c>
      <c r="D12" s="10" t="s">
        <v>220</v>
      </c>
      <c r="E12" s="20">
        <f t="shared" si="0"/>
        <v>162.99999999999997</v>
      </c>
      <c r="F12" s="20">
        <f t="shared" si="1"/>
        <v>24.999999999999993</v>
      </c>
      <c r="G12" s="20">
        <f t="shared" si="2"/>
        <v>317</v>
      </c>
      <c r="H12" s="21" t="str">
        <f t="shared" si="3"/>
        <v>Late</v>
      </c>
      <c r="I12" s="21">
        <v>480</v>
      </c>
    </row>
    <row r="13" spans="1:10" x14ac:dyDescent="0.25">
      <c r="A13" s="12" t="s">
        <v>282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t="str">
        <f t="shared" si="1"/>
        <v/>
      </c>
      <c r="G13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25">
      <c r="A14" s="10" t="s">
        <v>282</v>
      </c>
      <c r="B14" s="10" t="s">
        <v>45</v>
      </c>
      <c r="C14" s="10" t="s">
        <v>164</v>
      </c>
      <c r="D14" s="10" t="s">
        <v>221</v>
      </c>
      <c r="E14" s="20">
        <f t="shared" si="0"/>
        <v>260.00000000000006</v>
      </c>
      <c r="F14" s="20">
        <f t="shared" si="1"/>
        <v>11.999999999999957</v>
      </c>
      <c r="G14" s="20">
        <f t="shared" si="2"/>
        <v>219.99999999999994</v>
      </c>
      <c r="H14" s="21" t="str">
        <f t="shared" si="3"/>
        <v>Late</v>
      </c>
      <c r="I14" s="21">
        <v>480</v>
      </c>
    </row>
    <row r="15" spans="1:10" x14ac:dyDescent="0.25">
      <c r="A15" s="12" t="s">
        <v>282</v>
      </c>
      <c r="B15" s="12" t="s">
        <v>47</v>
      </c>
      <c r="C15" s="12" t="s">
        <v>41</v>
      </c>
      <c r="D15" s="12" t="s">
        <v>48</v>
      </c>
      <c r="E15" s="1">
        <f t="shared" si="0"/>
        <v>481.99999999999994</v>
      </c>
      <c r="F15">
        <f t="shared" si="1"/>
        <v>24.999999999999993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282</v>
      </c>
      <c r="B16" s="10" t="s">
        <v>49</v>
      </c>
      <c r="C16" s="10" t="s">
        <v>222</v>
      </c>
      <c r="D16" s="10" t="s">
        <v>24</v>
      </c>
      <c r="E16" s="20">
        <f t="shared" si="0"/>
        <v>489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282</v>
      </c>
      <c r="B17" s="12" t="s">
        <v>50</v>
      </c>
      <c r="C17" s="12" t="s">
        <v>51</v>
      </c>
      <c r="D17" s="12" t="s">
        <v>106</v>
      </c>
      <c r="E17" s="1">
        <f t="shared" si="0"/>
        <v>480.99999999999994</v>
      </c>
      <c r="F17">
        <f t="shared" si="1"/>
        <v>28.999999999999979</v>
      </c>
      <c r="G17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282</v>
      </c>
      <c r="B18" s="10" t="s">
        <v>52</v>
      </c>
      <c r="C18" s="10" t="s">
        <v>53</v>
      </c>
      <c r="D18" s="10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25">
      <c r="A19" s="12" t="s">
        <v>282</v>
      </c>
      <c r="B19" s="12" t="s">
        <v>54</v>
      </c>
      <c r="C19" s="12" t="s">
        <v>55</v>
      </c>
      <c r="D19" s="12" t="s">
        <v>56</v>
      </c>
      <c r="E19" s="1">
        <f t="shared" si="0"/>
        <v>517</v>
      </c>
      <c r="F19">
        <f t="shared" si="1"/>
        <v>33.999999999999957</v>
      </c>
      <c r="G19">
        <f t="shared" si="2"/>
        <v>0</v>
      </c>
      <c r="H19" s="4" t="str">
        <f t="shared" si="3"/>
        <v>Late</v>
      </c>
      <c r="I19" s="5">
        <v>480</v>
      </c>
    </row>
    <row r="20" spans="1:9" x14ac:dyDescent="0.25">
      <c r="A20" s="10" t="s">
        <v>282</v>
      </c>
      <c r="B20" s="10" t="s">
        <v>57</v>
      </c>
      <c r="C20" s="10" t="s">
        <v>59</v>
      </c>
      <c r="D20" s="10" t="s">
        <v>59</v>
      </c>
      <c r="E20" s="20">
        <f t="shared" si="0"/>
        <v>0</v>
      </c>
      <c r="F20" s="20">
        <f t="shared" si="1"/>
        <v>600</v>
      </c>
      <c r="G20" s="20">
        <f t="shared" si="2"/>
        <v>480</v>
      </c>
      <c r="H20" s="21" t="str">
        <f t="shared" si="3"/>
        <v>Late</v>
      </c>
      <c r="I20" s="21">
        <v>480</v>
      </c>
    </row>
    <row r="21" spans="1:9" x14ac:dyDescent="0.25">
      <c r="A21" s="12" t="s">
        <v>282</v>
      </c>
      <c r="B21" s="12" t="s">
        <v>60</v>
      </c>
      <c r="C21" s="12" t="s">
        <v>61</v>
      </c>
      <c r="D21" s="12" t="s">
        <v>62</v>
      </c>
      <c r="E21" s="1">
        <f t="shared" si="0"/>
        <v>555</v>
      </c>
      <c r="F21">
        <f t="shared" si="1"/>
        <v>34.999999999999957</v>
      </c>
      <c r="G21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282</v>
      </c>
      <c r="B22" s="10" t="s">
        <v>63</v>
      </c>
      <c r="C22" s="10" t="s">
        <v>64</v>
      </c>
      <c r="D22" s="10" t="s">
        <v>223</v>
      </c>
      <c r="E22" s="20">
        <f t="shared" si="0"/>
        <v>596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25">
      <c r="A23" s="12" t="s">
        <v>282</v>
      </c>
      <c r="B23" s="12" t="s">
        <v>66</v>
      </c>
      <c r="C23" s="12" t="s">
        <v>67</v>
      </c>
      <c r="D23" s="12" t="s">
        <v>97</v>
      </c>
      <c r="E23" s="1">
        <f t="shared" si="0"/>
        <v>484.99999999999994</v>
      </c>
      <c r="F23">
        <f t="shared" si="1"/>
        <v>36.99999999999995</v>
      </c>
      <c r="G23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/>
  <dimension ref="A1:J23"/>
  <sheetViews>
    <sheetView zoomScale="70" zoomScaleNormal="70" workbookViewId="0">
      <selection activeCell="J20" sqref="J2:J20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1.140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281</v>
      </c>
      <c r="B2" s="10" t="s">
        <v>14</v>
      </c>
      <c r="C2" s="10" t="s">
        <v>175</v>
      </c>
      <c r="D2" s="10" t="s">
        <v>27</v>
      </c>
      <c r="E2" s="20" t="e">
        <f t="shared" ref="E2:E23" si="0">IF(OR(C2="Absent",D2="Absent",C2="",D2=""),"", (D2-C2)*1440)</f>
        <v>#VALUE!</v>
      </c>
      <c r="F2" s="20">
        <f>IF(OR(C2="",C2="Absent"),"",
 MAX(0,(C2 - TIME(8,50,0))*1440))</f>
        <v>0</v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Missing</v>
      </c>
      <c r="I2" s="21">
        <v>480</v>
      </c>
    </row>
    <row r="3" spans="1:10" x14ac:dyDescent="0.25">
      <c r="A3" s="12" t="s">
        <v>281</v>
      </c>
      <c r="B3" s="12" t="s">
        <v>17</v>
      </c>
      <c r="C3" s="12" t="s">
        <v>175</v>
      </c>
      <c r="D3" s="12" t="s">
        <v>224</v>
      </c>
      <c r="E3" s="1">
        <f t="shared" si="0"/>
        <v>474.99999999999989</v>
      </c>
      <c r="F3" s="4">
        <f>IF(OR(C3="",C3="Absent"),"",
 MAX(0,(C3 - TIME(8,50,0))*1440))</f>
        <v>0</v>
      </c>
      <c r="G3" s="2">
        <f>IF(C3="","",
 MAX(0,480 - E3))</f>
        <v>5.0000000000001137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Early</v>
      </c>
      <c r="I3" s="5">
        <v>480</v>
      </c>
    </row>
    <row r="4" spans="1:10" x14ac:dyDescent="0.25">
      <c r="A4" s="10" t="s">
        <v>281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25">
      <c r="A5" s="12" t="s">
        <v>281</v>
      </c>
      <c r="B5" s="12" t="s">
        <v>22</v>
      </c>
      <c r="C5" s="12" t="s">
        <v>225</v>
      </c>
      <c r="D5" s="12" t="s">
        <v>226</v>
      </c>
      <c r="E5" s="1">
        <f t="shared" si="0"/>
        <v>554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25">
      <c r="A6" s="10" t="s">
        <v>281</v>
      </c>
      <c r="B6" s="10" t="s">
        <v>25</v>
      </c>
      <c r="C6" s="10" t="s">
        <v>227</v>
      </c>
      <c r="D6" s="10" t="s">
        <v>106</v>
      </c>
      <c r="E6" s="20">
        <f t="shared" si="0"/>
        <v>557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25">
      <c r="A7" s="12" t="s">
        <v>281</v>
      </c>
      <c r="B7" s="12" t="s">
        <v>28</v>
      </c>
      <c r="C7" s="12" t="s">
        <v>228</v>
      </c>
      <c r="D7" s="12" t="s">
        <v>228</v>
      </c>
      <c r="E7" s="1">
        <f t="shared" si="0"/>
        <v>0</v>
      </c>
      <c r="F7" s="4">
        <f t="shared" si="1"/>
        <v>0</v>
      </c>
      <c r="G7" s="2">
        <f t="shared" si="2"/>
        <v>480</v>
      </c>
      <c r="H7" s="4" t="str">
        <f t="shared" si="3"/>
        <v>Early</v>
      </c>
      <c r="I7" s="5">
        <v>480</v>
      </c>
    </row>
    <row r="8" spans="1:10" x14ac:dyDescent="0.25">
      <c r="A8" s="10" t="s">
        <v>281</v>
      </c>
      <c r="B8" s="10" t="s">
        <v>31</v>
      </c>
      <c r="C8" s="10" t="s">
        <v>46</v>
      </c>
      <c r="D8" s="10" t="s">
        <v>27</v>
      </c>
      <c r="E8" s="20" t="str">
        <f t="shared" si="0"/>
        <v/>
      </c>
      <c r="F8" s="20" t="str">
        <f t="shared" si="1"/>
        <v/>
      </c>
      <c r="G8" s="20" t="e">
        <f t="shared" si="2"/>
        <v>#VALUE!</v>
      </c>
      <c r="H8" s="21" t="str">
        <f t="shared" si="3"/>
        <v>Absent</v>
      </c>
      <c r="I8" s="21">
        <v>480</v>
      </c>
    </row>
    <row r="9" spans="1:10" x14ac:dyDescent="0.25">
      <c r="A9" s="12" t="s">
        <v>281</v>
      </c>
      <c r="B9" s="12" t="s">
        <v>34</v>
      </c>
      <c r="C9" s="12" t="s">
        <v>229</v>
      </c>
      <c r="D9" s="12" t="s">
        <v>27</v>
      </c>
      <c r="E9" s="1" t="e">
        <f t="shared" si="0"/>
        <v>#VALUE!</v>
      </c>
      <c r="F9" s="4">
        <f t="shared" si="1"/>
        <v>0</v>
      </c>
      <c r="G9" s="2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25">
      <c r="A10" s="10" t="s">
        <v>281</v>
      </c>
      <c r="B10" s="10" t="s">
        <v>36</v>
      </c>
      <c r="C10" s="10" t="s">
        <v>46</v>
      </c>
      <c r="D10" s="10" t="s">
        <v>27</v>
      </c>
      <c r="E10" s="20" t="str">
        <f t="shared" si="0"/>
        <v/>
      </c>
      <c r="F10" s="20" t="str">
        <f t="shared" si="1"/>
        <v/>
      </c>
      <c r="G10" s="20" t="e">
        <f t="shared" si="2"/>
        <v>#VALUE!</v>
      </c>
      <c r="H10" s="21" t="str">
        <f t="shared" si="3"/>
        <v>Absent</v>
      </c>
      <c r="I10" s="21">
        <v>480</v>
      </c>
    </row>
    <row r="11" spans="1:10" x14ac:dyDescent="0.25">
      <c r="A11" s="12" t="s">
        <v>281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s="4" t="str">
        <f t="shared" si="1"/>
        <v/>
      </c>
      <c r="G11" s="2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25">
      <c r="A12" s="10" t="s">
        <v>281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25">
      <c r="A13" s="12" t="s">
        <v>281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4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25">
      <c r="A14" s="10" t="s">
        <v>281</v>
      </c>
      <c r="B14" s="10" t="s">
        <v>45</v>
      </c>
      <c r="C14" s="10" t="s">
        <v>230</v>
      </c>
      <c r="D14" s="10" t="s">
        <v>177</v>
      </c>
      <c r="E14" s="20">
        <f t="shared" si="0"/>
        <v>535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25">
      <c r="A15" s="12" t="s">
        <v>281</v>
      </c>
      <c r="B15" s="12" t="s">
        <v>47</v>
      </c>
      <c r="C15" s="12" t="s">
        <v>141</v>
      </c>
      <c r="D15" s="12" t="s">
        <v>178</v>
      </c>
      <c r="E15" s="1">
        <f t="shared" si="0"/>
        <v>549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25">
      <c r="A16" s="10" t="s">
        <v>281</v>
      </c>
      <c r="B16" s="10" t="s">
        <v>49</v>
      </c>
      <c r="C16" s="10" t="s">
        <v>229</v>
      </c>
      <c r="D16" s="10" t="s">
        <v>27</v>
      </c>
      <c r="E16" s="20" t="e">
        <f t="shared" si="0"/>
        <v>#VALUE!</v>
      </c>
      <c r="F16" s="20">
        <f t="shared" si="1"/>
        <v>0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25">
      <c r="A17" s="12" t="s">
        <v>281</v>
      </c>
      <c r="B17" s="12" t="s">
        <v>50</v>
      </c>
      <c r="C17" s="12" t="s">
        <v>231</v>
      </c>
      <c r="D17" s="12" t="s">
        <v>161</v>
      </c>
      <c r="E17" s="1">
        <f t="shared" si="0"/>
        <v>562</v>
      </c>
      <c r="F17" s="4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25">
      <c r="A18" s="10" t="s">
        <v>281</v>
      </c>
      <c r="B18" s="10" t="s">
        <v>52</v>
      </c>
      <c r="C18" s="10" t="s">
        <v>112</v>
      </c>
      <c r="D18" s="10" t="s">
        <v>93</v>
      </c>
      <c r="E18" s="20">
        <f t="shared" si="0"/>
        <v>483.99999999999994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25">
      <c r="A19" s="12" t="s">
        <v>281</v>
      </c>
      <c r="B19" s="12" t="s">
        <v>54</v>
      </c>
      <c r="C19" s="12" t="s">
        <v>92</v>
      </c>
      <c r="D19" s="12" t="s">
        <v>171</v>
      </c>
      <c r="E19" s="1">
        <f t="shared" si="0"/>
        <v>518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25">
      <c r="A20" s="10" t="s">
        <v>281</v>
      </c>
      <c r="B20" s="10" t="s">
        <v>57</v>
      </c>
      <c r="C20" s="10" t="s">
        <v>225</v>
      </c>
      <c r="D20" s="10" t="s">
        <v>56</v>
      </c>
      <c r="E20" s="20">
        <f t="shared" si="0"/>
        <v>593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25">
      <c r="A21" s="12" t="s">
        <v>281</v>
      </c>
      <c r="B21" s="12" t="s">
        <v>60</v>
      </c>
      <c r="C21" s="12" t="s">
        <v>232</v>
      </c>
      <c r="D21" s="12" t="s">
        <v>196</v>
      </c>
      <c r="E21" s="1">
        <f t="shared" si="0"/>
        <v>603.99999999999989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25">
      <c r="A22" s="10" t="s">
        <v>281</v>
      </c>
      <c r="B22" s="10" t="s">
        <v>63</v>
      </c>
      <c r="C22" s="10" t="s">
        <v>144</v>
      </c>
      <c r="D22" s="10" t="s">
        <v>157</v>
      </c>
      <c r="E22" s="20">
        <f t="shared" si="0"/>
        <v>575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25">
      <c r="A23" s="12" t="s">
        <v>281</v>
      </c>
      <c r="B23" s="12" t="s">
        <v>66</v>
      </c>
      <c r="C23" s="12" t="s">
        <v>186</v>
      </c>
      <c r="D23" s="12" t="s">
        <v>184</v>
      </c>
      <c r="E23" s="1">
        <f t="shared" si="0"/>
        <v>615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J23"/>
  <sheetViews>
    <sheetView zoomScale="70" zoomScaleNormal="70" workbookViewId="0">
      <selection activeCell="J23" sqref="J11:J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64.140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280</v>
      </c>
      <c r="B2" s="10" t="s">
        <v>14</v>
      </c>
      <c r="C2" s="10" t="s">
        <v>129</v>
      </c>
      <c r="D2" s="10" t="s">
        <v>127</v>
      </c>
      <c r="E2" s="20">
        <f t="shared" ref="E2:E23" si="0">IF(OR(C2="Absent",D2="Absent",C2="",D2=""),"", (D2-C2)*1440)</f>
        <v>559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25">
      <c r="A3" s="12" t="s">
        <v>280</v>
      </c>
      <c r="B3" s="12" t="s">
        <v>17</v>
      </c>
      <c r="C3" s="12" t="s">
        <v>113</v>
      </c>
      <c r="D3" s="12" t="s">
        <v>88</v>
      </c>
      <c r="E3" s="1">
        <f t="shared" si="0"/>
        <v>503.00000000000006</v>
      </c>
      <c r="F3" s="4">
        <f>IF(OR(C3="",C3="Absent"),"",
 MAX(0,(C3 - TIME(8,50,0))*1440))</f>
        <v>0</v>
      </c>
      <c r="G3" s="2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25">
      <c r="A4" s="10" t="s">
        <v>280</v>
      </c>
      <c r="B4" s="10" t="s">
        <v>20</v>
      </c>
      <c r="C4" s="10" t="s">
        <v>118</v>
      </c>
      <c r="D4" s="10" t="s">
        <v>233</v>
      </c>
      <c r="E4" s="20">
        <f t="shared" si="0"/>
        <v>643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25">
      <c r="A5" s="12" t="s">
        <v>280</v>
      </c>
      <c r="B5" s="12" t="s">
        <v>22</v>
      </c>
      <c r="C5" s="12" t="s">
        <v>202</v>
      </c>
      <c r="D5" s="12" t="s">
        <v>33</v>
      </c>
      <c r="E5" s="1">
        <f t="shared" si="0"/>
        <v>534.99999999999989</v>
      </c>
      <c r="F5" s="4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280</v>
      </c>
      <c r="B6" s="10" t="s">
        <v>25</v>
      </c>
      <c r="C6" s="10" t="s">
        <v>118</v>
      </c>
      <c r="D6" s="10" t="s">
        <v>128</v>
      </c>
      <c r="E6" s="20">
        <f t="shared" si="0"/>
        <v>548.99999999999989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25">
      <c r="A7" s="12" t="s">
        <v>280</v>
      </c>
      <c r="B7" s="12" t="s">
        <v>28</v>
      </c>
      <c r="C7" s="12" t="s">
        <v>191</v>
      </c>
      <c r="D7" s="12" t="s">
        <v>137</v>
      </c>
      <c r="E7" s="1">
        <f t="shared" si="0"/>
        <v>549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25">
      <c r="A8" s="10" t="s">
        <v>280</v>
      </c>
      <c r="B8" s="10" t="s">
        <v>31</v>
      </c>
      <c r="C8" s="10" t="s">
        <v>129</v>
      </c>
      <c r="D8" s="10" t="s">
        <v>234</v>
      </c>
      <c r="E8" s="20">
        <f t="shared" si="0"/>
        <v>620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25">
      <c r="A9" s="12" t="s">
        <v>280</v>
      </c>
      <c r="B9" s="12" t="s">
        <v>34</v>
      </c>
      <c r="C9" s="12" t="s">
        <v>95</v>
      </c>
      <c r="D9" s="12" t="s">
        <v>33</v>
      </c>
      <c r="E9" s="1">
        <f t="shared" si="0"/>
        <v>538.99999999999989</v>
      </c>
      <c r="F9" s="4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280</v>
      </c>
      <c r="B10" s="10" t="s">
        <v>36</v>
      </c>
      <c r="C10" s="10" t="s">
        <v>115</v>
      </c>
      <c r="D10" s="10" t="s">
        <v>197</v>
      </c>
      <c r="E10" s="20">
        <f t="shared" si="0"/>
        <v>587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25">
      <c r="A11" s="12" t="s">
        <v>280</v>
      </c>
      <c r="B11" s="12" t="s">
        <v>38</v>
      </c>
      <c r="C11" s="12" t="s">
        <v>191</v>
      </c>
      <c r="D11" s="12" t="s">
        <v>235</v>
      </c>
      <c r="E11" s="1">
        <f t="shared" si="0"/>
        <v>492.99999999999994</v>
      </c>
      <c r="F11" s="1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  <c r="J11" s="25"/>
    </row>
    <row r="12" spans="1:10" x14ac:dyDescent="0.25">
      <c r="A12" s="10" t="s">
        <v>280</v>
      </c>
      <c r="B12" s="10" t="s">
        <v>40</v>
      </c>
      <c r="C12" s="10" t="s">
        <v>176</v>
      </c>
      <c r="D12" s="10" t="s">
        <v>236</v>
      </c>
      <c r="E12" s="20">
        <f t="shared" si="0"/>
        <v>572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  <c r="J12" s="25"/>
    </row>
    <row r="13" spans="1:10" x14ac:dyDescent="0.25">
      <c r="A13" s="12" t="s">
        <v>280</v>
      </c>
      <c r="B13" s="12" t="s">
        <v>43</v>
      </c>
      <c r="C13" s="12" t="s">
        <v>195</v>
      </c>
      <c r="D13" s="12" t="s">
        <v>169</v>
      </c>
      <c r="E13" s="1">
        <f t="shared" si="0"/>
        <v>499.00000000000006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25">
      <c r="A14" s="10" t="s">
        <v>280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  <c r="J14" s="25"/>
    </row>
    <row r="15" spans="1:10" x14ac:dyDescent="0.25">
      <c r="A15" s="12" t="s">
        <v>280</v>
      </c>
      <c r="B15" s="12" t="s">
        <v>47</v>
      </c>
      <c r="C15" s="12" t="s">
        <v>46</v>
      </c>
      <c r="D15" s="12" t="s">
        <v>27</v>
      </c>
      <c r="E15" s="1" t="str">
        <f t="shared" si="0"/>
        <v/>
      </c>
      <c r="F15" s="1" t="str">
        <f t="shared" si="1"/>
        <v/>
      </c>
      <c r="G15" s="2" t="e">
        <f t="shared" si="2"/>
        <v>#VALUE!</v>
      </c>
      <c r="H15" s="4" t="str">
        <f t="shared" si="3"/>
        <v>Absent</v>
      </c>
      <c r="I15" s="5">
        <v>480</v>
      </c>
      <c r="J15" s="25"/>
    </row>
    <row r="16" spans="1:10" x14ac:dyDescent="0.25">
      <c r="A16" s="10" t="s">
        <v>280</v>
      </c>
      <c r="B16" s="10" t="s">
        <v>49</v>
      </c>
      <c r="C16" s="10" t="s">
        <v>46</v>
      </c>
      <c r="D16" s="10" t="s">
        <v>27</v>
      </c>
      <c r="E16" s="20" t="str">
        <f t="shared" si="0"/>
        <v/>
      </c>
      <c r="F16" s="20" t="str">
        <f t="shared" si="1"/>
        <v/>
      </c>
      <c r="G16" s="20" t="e">
        <f t="shared" si="2"/>
        <v>#VALUE!</v>
      </c>
      <c r="H16" s="21" t="str">
        <f t="shared" si="3"/>
        <v>Absent</v>
      </c>
      <c r="I16" s="21">
        <v>480</v>
      </c>
      <c r="J16" s="25"/>
    </row>
    <row r="17" spans="1:10" x14ac:dyDescent="0.25">
      <c r="A17" s="12" t="s">
        <v>280</v>
      </c>
      <c r="B17" s="12" t="s">
        <v>50</v>
      </c>
      <c r="C17" s="12" t="s">
        <v>46</v>
      </c>
      <c r="D17" s="12" t="s">
        <v>27</v>
      </c>
      <c r="E17" s="1" t="str">
        <f t="shared" si="0"/>
        <v/>
      </c>
      <c r="F17" s="1" t="str">
        <f t="shared" si="1"/>
        <v/>
      </c>
      <c r="G17" s="2" t="e">
        <f t="shared" si="2"/>
        <v>#VALUE!</v>
      </c>
      <c r="H17" s="4" t="str">
        <f t="shared" si="3"/>
        <v>Absent</v>
      </c>
      <c r="I17" s="5">
        <v>480</v>
      </c>
      <c r="J17" s="25"/>
    </row>
    <row r="18" spans="1:10" x14ac:dyDescent="0.25">
      <c r="A18" s="10" t="s">
        <v>280</v>
      </c>
      <c r="B18" s="10" t="s">
        <v>52</v>
      </c>
      <c r="C18" s="10" t="s">
        <v>46</v>
      </c>
      <c r="D18" s="10" t="s">
        <v>27</v>
      </c>
      <c r="E18" s="20" t="str">
        <f t="shared" si="0"/>
        <v/>
      </c>
      <c r="F18" s="20" t="str">
        <f t="shared" si="1"/>
        <v/>
      </c>
      <c r="G18" s="20" t="e">
        <f t="shared" si="2"/>
        <v>#VALUE!</v>
      </c>
      <c r="H18" s="21" t="str">
        <f t="shared" si="3"/>
        <v>Absent</v>
      </c>
      <c r="I18" s="21">
        <v>480</v>
      </c>
      <c r="J18" s="25"/>
    </row>
    <row r="19" spans="1:10" x14ac:dyDescent="0.25">
      <c r="A19" s="12" t="s">
        <v>280</v>
      </c>
      <c r="B19" s="12" t="s">
        <v>54</v>
      </c>
      <c r="C19" s="12" t="s">
        <v>95</v>
      </c>
      <c r="D19" s="12" t="s">
        <v>180</v>
      </c>
      <c r="E19" s="1">
        <f t="shared" si="0"/>
        <v>520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10" x14ac:dyDescent="0.25">
      <c r="A20" s="10" t="s">
        <v>280</v>
      </c>
      <c r="B20" s="10" t="s">
        <v>57</v>
      </c>
      <c r="C20" s="10" t="s">
        <v>237</v>
      </c>
      <c r="D20" s="10" t="s">
        <v>101</v>
      </c>
      <c r="E20" s="20">
        <f t="shared" si="0"/>
        <v>439.00000000000006</v>
      </c>
      <c r="F20" s="20">
        <f t="shared" si="1"/>
        <v>106.99999999999994</v>
      </c>
      <c r="G20" s="20">
        <f t="shared" si="2"/>
        <v>40.999999999999943</v>
      </c>
      <c r="H20" s="21" t="str">
        <f t="shared" si="3"/>
        <v>Late</v>
      </c>
      <c r="I20" s="21">
        <v>480</v>
      </c>
    </row>
    <row r="21" spans="1:10" x14ac:dyDescent="0.25">
      <c r="A21" s="12" t="s">
        <v>280</v>
      </c>
      <c r="B21" s="12" t="s">
        <v>60</v>
      </c>
      <c r="C21" s="12" t="s">
        <v>121</v>
      </c>
      <c r="D21" s="12" t="s">
        <v>209</v>
      </c>
      <c r="E21" s="1">
        <f t="shared" si="0"/>
        <v>582.00000000000011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10" x14ac:dyDescent="0.25">
      <c r="A22" s="10" t="s">
        <v>280</v>
      </c>
      <c r="B22" s="10" t="s">
        <v>63</v>
      </c>
      <c r="C22" s="10" t="s">
        <v>92</v>
      </c>
      <c r="D22" s="10" t="s">
        <v>48</v>
      </c>
      <c r="E22" s="20">
        <f t="shared" si="0"/>
        <v>519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10" x14ac:dyDescent="0.25">
      <c r="A23" s="12" t="s">
        <v>280</v>
      </c>
      <c r="B23" s="12" t="s">
        <v>66</v>
      </c>
      <c r="C23" s="12" t="s">
        <v>154</v>
      </c>
      <c r="D23" s="12" t="s">
        <v>163</v>
      </c>
      <c r="E23" s="1">
        <f t="shared" si="0"/>
        <v>515</v>
      </c>
      <c r="F23" s="4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4"/>
  <dimension ref="A1:J24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86.28515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279</v>
      </c>
      <c r="B2" s="10" t="s">
        <v>14</v>
      </c>
      <c r="C2" s="10" t="s">
        <v>238</v>
      </c>
      <c r="D2" s="10" t="s">
        <v>42</v>
      </c>
      <c r="E2" s="20">
        <f t="shared" ref="E2:E23" si="0">IF(OR(C2="Absent",D2="Absent",C2="",D2=""),"", (D2-C2)*1440)</f>
        <v>504.00000000000006</v>
      </c>
      <c r="F2" s="20">
        <f>IF(OR(C2="",C2="Absent"),"",
 MAX(0,(C2 - TIME(8,50,0))*1440))</f>
        <v>25.999999999999986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279</v>
      </c>
      <c r="B3" s="12" t="s">
        <v>17</v>
      </c>
      <c r="C3" s="12" t="s">
        <v>198</v>
      </c>
      <c r="D3" s="12" t="s">
        <v>190</v>
      </c>
      <c r="E3" s="1">
        <f t="shared" si="0"/>
        <v>541.00000000000011</v>
      </c>
      <c r="F3" s="4">
        <f>IF(OR(C3="",C3="Absent"),"",
 MAX(0,(C3 - TIME(8,50,0))*1440))</f>
        <v>0</v>
      </c>
      <c r="G3" s="4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25">
      <c r="A4" s="10" t="s">
        <v>279</v>
      </c>
      <c r="B4" s="10" t="s">
        <v>20</v>
      </c>
      <c r="C4" s="10" t="s">
        <v>86</v>
      </c>
      <c r="D4" s="10" t="s">
        <v>27</v>
      </c>
      <c r="E4" s="20" t="e">
        <f t="shared" si="0"/>
        <v>#VALUE!</v>
      </c>
      <c r="F4" s="20">
        <f t="shared" ref="F4:F23" si="1">IF(OR(C4="",C4="Absent"),"",
MAX(0,(C4 - TIME(8,50,0))*1440))</f>
        <v>0.99999999999999645</v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21">
        <v>480</v>
      </c>
    </row>
    <row r="5" spans="1:10" x14ac:dyDescent="0.25">
      <c r="A5" s="12" t="s">
        <v>279</v>
      </c>
      <c r="B5" s="12" t="s">
        <v>22</v>
      </c>
      <c r="C5" s="12" t="s">
        <v>176</v>
      </c>
      <c r="D5" s="12" t="s">
        <v>239</v>
      </c>
      <c r="E5" s="1">
        <f t="shared" si="0"/>
        <v>556</v>
      </c>
      <c r="F5" s="4">
        <f t="shared" si="1"/>
        <v>0</v>
      </c>
      <c r="G5" s="4">
        <f t="shared" si="2"/>
        <v>0</v>
      </c>
      <c r="H5" s="4" t="str">
        <f t="shared" si="3"/>
        <v>On Time</v>
      </c>
      <c r="I5" s="5">
        <v>480</v>
      </c>
    </row>
    <row r="6" spans="1:10" ht="18" customHeight="1" x14ac:dyDescent="0.25">
      <c r="A6" s="10" t="s">
        <v>279</v>
      </c>
      <c r="B6" s="10" t="s">
        <v>25</v>
      </c>
      <c r="C6" s="10" t="s">
        <v>179</v>
      </c>
      <c r="D6" s="10" t="s">
        <v>146</v>
      </c>
      <c r="E6" s="20">
        <f t="shared" si="0"/>
        <v>575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  <c r="J6" s="27"/>
    </row>
    <row r="7" spans="1:10" x14ac:dyDescent="0.25">
      <c r="A7" s="12" t="s">
        <v>279</v>
      </c>
      <c r="B7" s="12" t="s">
        <v>28</v>
      </c>
      <c r="C7" s="12" t="s">
        <v>126</v>
      </c>
      <c r="D7" s="12" t="s">
        <v>68</v>
      </c>
      <c r="E7" s="1">
        <f t="shared" si="0"/>
        <v>547</v>
      </c>
      <c r="F7" s="4">
        <f t="shared" si="1"/>
        <v>0</v>
      </c>
      <c r="G7" s="4">
        <f t="shared" si="2"/>
        <v>0</v>
      </c>
      <c r="H7" s="4" t="str">
        <f t="shared" si="3"/>
        <v>Early</v>
      </c>
      <c r="I7" s="5">
        <v>480</v>
      </c>
    </row>
    <row r="8" spans="1:10" x14ac:dyDescent="0.25">
      <c r="A8" s="10" t="s">
        <v>279</v>
      </c>
      <c r="B8" s="10" t="s">
        <v>31</v>
      </c>
      <c r="C8" s="10" t="s">
        <v>136</v>
      </c>
      <c r="D8" s="10" t="s">
        <v>239</v>
      </c>
      <c r="E8" s="20">
        <f t="shared" si="0"/>
        <v>575</v>
      </c>
      <c r="F8" s="20">
        <f t="shared" si="1"/>
        <v>0</v>
      </c>
      <c r="G8" s="20">
        <f t="shared" si="2"/>
        <v>0</v>
      </c>
      <c r="H8" s="21" t="str">
        <f t="shared" si="3"/>
        <v>Early</v>
      </c>
      <c r="I8" s="21">
        <v>480</v>
      </c>
    </row>
    <row r="9" spans="1:10" ht="18.75" customHeight="1" x14ac:dyDescent="0.3">
      <c r="A9" s="12" t="s">
        <v>279</v>
      </c>
      <c r="B9" s="12" t="s">
        <v>34</v>
      </c>
      <c r="C9" s="12" t="s">
        <v>113</v>
      </c>
      <c r="D9" s="12" t="s">
        <v>240</v>
      </c>
      <c r="E9" s="1">
        <f t="shared" si="0"/>
        <v>565</v>
      </c>
      <c r="F9" s="4">
        <f t="shared" si="1"/>
        <v>0</v>
      </c>
      <c r="G9" s="4">
        <f t="shared" si="2"/>
        <v>0</v>
      </c>
      <c r="H9" s="4" t="str">
        <f t="shared" si="3"/>
        <v>On Time</v>
      </c>
      <c r="I9" s="5">
        <v>480</v>
      </c>
      <c r="J9" s="26"/>
    </row>
    <row r="10" spans="1:10" x14ac:dyDescent="0.25">
      <c r="A10" s="10" t="s">
        <v>279</v>
      </c>
      <c r="B10" s="10" t="s">
        <v>36</v>
      </c>
      <c r="C10" s="10" t="s">
        <v>195</v>
      </c>
      <c r="D10" s="10" t="s">
        <v>152</v>
      </c>
      <c r="E10" s="20">
        <f t="shared" si="0"/>
        <v>516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ht="18.75" customHeight="1" x14ac:dyDescent="0.3">
      <c r="A11" s="12" t="s">
        <v>279</v>
      </c>
      <c r="B11" s="12" t="s">
        <v>38</v>
      </c>
      <c r="C11" s="12" t="s">
        <v>138</v>
      </c>
      <c r="D11" s="12" t="s">
        <v>241</v>
      </c>
      <c r="E11" s="1">
        <f t="shared" si="0"/>
        <v>561.00000000000011</v>
      </c>
      <c r="F11" s="4">
        <f t="shared" si="1"/>
        <v>0</v>
      </c>
      <c r="G11" s="4">
        <f t="shared" si="2"/>
        <v>0</v>
      </c>
      <c r="H11" s="4" t="str">
        <f t="shared" si="3"/>
        <v>Early</v>
      </c>
      <c r="I11" s="5">
        <v>480</v>
      </c>
      <c r="J11" s="26"/>
    </row>
    <row r="12" spans="1:10" x14ac:dyDescent="0.25">
      <c r="A12" s="10" t="s">
        <v>279</v>
      </c>
      <c r="B12" s="10" t="s">
        <v>40</v>
      </c>
      <c r="C12" s="10" t="s">
        <v>150</v>
      </c>
      <c r="D12" s="10" t="s">
        <v>155</v>
      </c>
      <c r="E12" s="20">
        <f t="shared" si="0"/>
        <v>590.00000000000011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</row>
    <row r="13" spans="1:10" x14ac:dyDescent="0.25">
      <c r="A13" s="12" t="s">
        <v>279</v>
      </c>
      <c r="B13" s="12" t="s">
        <v>43</v>
      </c>
      <c r="C13" s="12" t="s">
        <v>136</v>
      </c>
      <c r="D13" s="12" t="s">
        <v>140</v>
      </c>
      <c r="E13" s="1">
        <f t="shared" si="0"/>
        <v>568.00000000000011</v>
      </c>
      <c r="F13" s="4">
        <f t="shared" si="1"/>
        <v>0</v>
      </c>
      <c r="G13" s="4">
        <f t="shared" si="2"/>
        <v>0</v>
      </c>
      <c r="H13" s="4" t="str">
        <f t="shared" si="3"/>
        <v>Early</v>
      </c>
      <c r="I13" s="5">
        <v>480</v>
      </c>
    </row>
    <row r="14" spans="1:10" x14ac:dyDescent="0.25">
      <c r="A14" s="10" t="s">
        <v>279</v>
      </c>
      <c r="B14" s="10" t="s">
        <v>45</v>
      </c>
      <c r="C14" s="10" t="s">
        <v>195</v>
      </c>
      <c r="D14" s="10" t="s">
        <v>156</v>
      </c>
      <c r="E14" s="20">
        <f t="shared" si="0"/>
        <v>587.00000000000011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25">
      <c r="A15" s="12" t="s">
        <v>279</v>
      </c>
      <c r="B15" s="12" t="s">
        <v>47</v>
      </c>
      <c r="C15" s="12" t="s">
        <v>82</v>
      </c>
      <c r="D15" s="12" t="s">
        <v>241</v>
      </c>
      <c r="E15" s="1">
        <f t="shared" si="0"/>
        <v>532</v>
      </c>
      <c r="F15" s="4">
        <f t="shared" si="1"/>
        <v>0</v>
      </c>
      <c r="G15" s="4">
        <f t="shared" si="2"/>
        <v>0</v>
      </c>
      <c r="H15" s="4" t="str">
        <f t="shared" si="3"/>
        <v>On Time</v>
      </c>
      <c r="I15" s="5">
        <v>480</v>
      </c>
    </row>
    <row r="16" spans="1:10" x14ac:dyDescent="0.25">
      <c r="A16" s="10" t="s">
        <v>279</v>
      </c>
      <c r="B16" s="10" t="s">
        <v>49</v>
      </c>
      <c r="C16" s="10" t="s">
        <v>195</v>
      </c>
      <c r="D16" s="10" t="s">
        <v>242</v>
      </c>
      <c r="E16" s="20">
        <f t="shared" si="0"/>
        <v>588.00000000000011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25">
      <c r="A17" s="12" t="s">
        <v>279</v>
      </c>
      <c r="B17" s="12" t="s">
        <v>50</v>
      </c>
      <c r="C17" s="12" t="s">
        <v>150</v>
      </c>
      <c r="D17" s="12" t="s">
        <v>132</v>
      </c>
      <c r="E17" s="1">
        <f t="shared" si="0"/>
        <v>573</v>
      </c>
      <c r="F17" s="4">
        <f t="shared" si="1"/>
        <v>0</v>
      </c>
      <c r="G17" s="4">
        <f t="shared" si="2"/>
        <v>0</v>
      </c>
      <c r="H17" s="4" t="str">
        <f t="shared" si="3"/>
        <v>On Time</v>
      </c>
      <c r="I17" s="5">
        <v>480</v>
      </c>
    </row>
    <row r="18" spans="1:9" x14ac:dyDescent="0.25">
      <c r="A18" s="10" t="s">
        <v>279</v>
      </c>
      <c r="B18" s="10" t="s">
        <v>52</v>
      </c>
      <c r="C18" s="10" t="s">
        <v>191</v>
      </c>
      <c r="D18" s="10" t="s">
        <v>152</v>
      </c>
      <c r="E18" s="20">
        <f t="shared" si="0"/>
        <v>524</v>
      </c>
      <c r="F18" s="20">
        <f t="shared" si="1"/>
        <v>0</v>
      </c>
      <c r="G18" s="20">
        <f t="shared" si="2"/>
        <v>0</v>
      </c>
      <c r="H18" s="21" t="str">
        <f t="shared" si="3"/>
        <v>Early</v>
      </c>
      <c r="I18" s="21">
        <v>480</v>
      </c>
    </row>
    <row r="19" spans="1:9" x14ac:dyDescent="0.25">
      <c r="A19" s="12" t="s">
        <v>279</v>
      </c>
      <c r="B19" s="12" t="s">
        <v>54</v>
      </c>
      <c r="C19" s="12" t="s">
        <v>243</v>
      </c>
      <c r="D19" s="12" t="s">
        <v>190</v>
      </c>
      <c r="E19" s="1">
        <f t="shared" si="0"/>
        <v>461.00000000000006</v>
      </c>
      <c r="F19" s="4">
        <f t="shared" si="1"/>
        <v>69.999999999999986</v>
      </c>
      <c r="G19" s="4">
        <f t="shared" si="2"/>
        <v>18.999999999999943</v>
      </c>
      <c r="H19" s="4" t="str">
        <f t="shared" si="3"/>
        <v>Late</v>
      </c>
      <c r="I19" s="5">
        <v>480</v>
      </c>
    </row>
    <row r="20" spans="1:9" x14ac:dyDescent="0.25">
      <c r="A20" s="10" t="s">
        <v>279</v>
      </c>
      <c r="B20" s="10" t="s">
        <v>57</v>
      </c>
      <c r="C20" s="10" t="s">
        <v>141</v>
      </c>
      <c r="D20" s="10" t="s">
        <v>211</v>
      </c>
      <c r="E20" s="20">
        <f t="shared" si="0"/>
        <v>524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25">
      <c r="A21" s="12" t="s">
        <v>279</v>
      </c>
      <c r="B21" s="12" t="s">
        <v>60</v>
      </c>
      <c r="C21" s="12" t="s">
        <v>143</v>
      </c>
      <c r="D21" s="12" t="s">
        <v>65</v>
      </c>
      <c r="E21" s="1">
        <f t="shared" si="0"/>
        <v>588</v>
      </c>
      <c r="F21" s="4">
        <f t="shared" si="1"/>
        <v>0</v>
      </c>
      <c r="G21" s="4">
        <f t="shared" si="2"/>
        <v>0</v>
      </c>
      <c r="H21" s="4" t="str">
        <f t="shared" si="3"/>
        <v>Early</v>
      </c>
      <c r="I21" s="5">
        <v>480</v>
      </c>
    </row>
    <row r="22" spans="1:9" x14ac:dyDescent="0.25">
      <c r="A22" s="10" t="s">
        <v>279</v>
      </c>
      <c r="B22" s="10" t="s">
        <v>63</v>
      </c>
      <c r="C22" s="10" t="s">
        <v>195</v>
      </c>
      <c r="D22" s="10" t="s">
        <v>244</v>
      </c>
      <c r="E22" s="20">
        <f t="shared" si="0"/>
        <v>641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9" x14ac:dyDescent="0.25">
      <c r="A23" s="12" t="s">
        <v>279</v>
      </c>
      <c r="B23" s="12" t="s">
        <v>66</v>
      </c>
      <c r="C23" s="12" t="s">
        <v>117</v>
      </c>
      <c r="D23" s="12" t="s">
        <v>226</v>
      </c>
      <c r="E23" s="1">
        <f t="shared" si="0"/>
        <v>505.99999999999994</v>
      </c>
      <c r="F23" s="4">
        <f t="shared" si="1"/>
        <v>5.9999999999999787</v>
      </c>
      <c r="G23" s="4">
        <f t="shared" si="2"/>
        <v>0</v>
      </c>
      <c r="H23" s="4" t="str">
        <f t="shared" si="3"/>
        <v>Late</v>
      </c>
      <c r="I23" s="5">
        <v>480</v>
      </c>
    </row>
    <row r="24" spans="1:9" ht="15" customHeight="1" x14ac:dyDescent="0.35">
      <c r="A24" s="28"/>
      <c r="B24" s="28"/>
      <c r="C24" s="28"/>
      <c r="D24" s="28"/>
      <c r="E24" s="28"/>
      <c r="F24" s="28"/>
      <c r="G24" s="28"/>
      <c r="H24" s="28"/>
      <c r="I24" s="28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/>
  <dimension ref="A1:J23"/>
  <sheetViews>
    <sheetView zoomScale="70" zoomScaleNormal="70" workbookViewId="0">
      <selection activeCell="J25" sqref="J3:J25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39.855468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278</v>
      </c>
      <c r="B2" s="10" t="s">
        <v>14</v>
      </c>
      <c r="C2" s="10" t="s">
        <v>21</v>
      </c>
      <c r="D2" s="10" t="s">
        <v>127</v>
      </c>
      <c r="E2" s="20">
        <f t="shared" ref="E2:E23" si="0">IF(OR(C2="Absent",D2="Absent",C2="",D2=""),"", (D2-C2)*1440)</f>
        <v>518</v>
      </c>
      <c r="F2" s="20">
        <f>IF(OR(C2="",C2="Absent"),"",
 MAX(0,(C2 - TIME(8,50,0))*1440))</f>
        <v>23.999999999999993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278</v>
      </c>
      <c r="B3" s="12" t="s">
        <v>17</v>
      </c>
      <c r="C3" s="12" t="s">
        <v>46</v>
      </c>
      <c r="D3" s="12" t="s">
        <v>27</v>
      </c>
      <c r="E3" s="1" t="str">
        <f t="shared" si="0"/>
        <v/>
      </c>
      <c r="F3" s="1" t="str">
        <f>IF(OR(C3="",C3="Absent"),"",
 MAX(0,(C3 - TIME(8,50,0))*1440))</f>
        <v/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Absent</v>
      </c>
      <c r="I3" s="5">
        <v>480</v>
      </c>
    </row>
    <row r="4" spans="1:10" x14ac:dyDescent="0.25">
      <c r="A4" s="10" t="s">
        <v>278</v>
      </c>
      <c r="B4" s="10" t="s">
        <v>20</v>
      </c>
      <c r="C4" s="10" t="s">
        <v>55</v>
      </c>
      <c r="D4" s="10" t="s">
        <v>245</v>
      </c>
      <c r="E4" s="20">
        <f t="shared" si="0"/>
        <v>483.99999999999994</v>
      </c>
      <c r="F4" s="20">
        <f t="shared" ref="F4:F23" si="1">IF(OR(C4="",C4="Absent"),"",
MAX(0,(C4 - TIME(8,50,0))*1440))</f>
        <v>33.999999999999957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278</v>
      </c>
      <c r="B5" s="12" t="s">
        <v>22</v>
      </c>
      <c r="C5" s="12" t="s">
        <v>246</v>
      </c>
      <c r="D5" s="12" t="s">
        <v>127</v>
      </c>
      <c r="E5" s="1">
        <f t="shared" si="0"/>
        <v>487</v>
      </c>
      <c r="F5" s="1">
        <f t="shared" si="1"/>
        <v>54.999999999999964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278</v>
      </c>
      <c r="B6" s="10" t="s">
        <v>25</v>
      </c>
      <c r="C6" s="10" t="s">
        <v>32</v>
      </c>
      <c r="D6" s="10" t="s">
        <v>247</v>
      </c>
      <c r="E6" s="20">
        <f t="shared" si="0"/>
        <v>510</v>
      </c>
      <c r="F6" s="20">
        <f t="shared" si="1"/>
        <v>27.999999999999979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278</v>
      </c>
      <c r="B7" s="12" t="s">
        <v>28</v>
      </c>
      <c r="C7" s="12" t="s">
        <v>41</v>
      </c>
      <c r="D7" s="12" t="s">
        <v>33</v>
      </c>
      <c r="E7" s="1">
        <f t="shared" si="0"/>
        <v>498.99999999999989</v>
      </c>
      <c r="F7" s="1">
        <f t="shared" si="1"/>
        <v>24.999999999999993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278</v>
      </c>
      <c r="B8" s="10" t="s">
        <v>31</v>
      </c>
      <c r="C8" s="10" t="s">
        <v>248</v>
      </c>
      <c r="D8" s="10" t="s">
        <v>194</v>
      </c>
      <c r="E8" s="20">
        <f t="shared" si="0"/>
        <v>482.99999999999994</v>
      </c>
      <c r="F8" s="20">
        <f t="shared" si="1"/>
        <v>84.999999999999943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278</v>
      </c>
      <c r="B9" s="12" t="s">
        <v>34</v>
      </c>
      <c r="C9" s="12" t="s">
        <v>249</v>
      </c>
      <c r="D9" s="12" t="s">
        <v>125</v>
      </c>
      <c r="E9" s="1">
        <f t="shared" si="0"/>
        <v>493.00000000000011</v>
      </c>
      <c r="F9" s="1">
        <f t="shared" si="1"/>
        <v>35.99999999999995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25">
      <c r="A10" s="10" t="s">
        <v>278</v>
      </c>
      <c r="B10" s="10" t="s">
        <v>36</v>
      </c>
      <c r="C10" s="10" t="s">
        <v>51</v>
      </c>
      <c r="D10" s="10" t="s">
        <v>250</v>
      </c>
      <c r="E10" s="20">
        <f t="shared" si="0"/>
        <v>534.99999999999989</v>
      </c>
      <c r="F10" s="20">
        <f t="shared" si="1"/>
        <v>28.999999999999979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278</v>
      </c>
      <c r="B11" s="12" t="s">
        <v>38</v>
      </c>
      <c r="C11" s="12" t="s">
        <v>251</v>
      </c>
      <c r="D11" s="12" t="s">
        <v>251</v>
      </c>
      <c r="E11" s="1">
        <f t="shared" si="0"/>
        <v>0</v>
      </c>
      <c r="F11" s="1">
        <f t="shared" si="1"/>
        <v>70.999999999999986</v>
      </c>
      <c r="G11" s="2">
        <f t="shared" si="2"/>
        <v>480</v>
      </c>
      <c r="H11" s="4" t="str">
        <f t="shared" si="3"/>
        <v>Late</v>
      </c>
      <c r="I11" s="5">
        <v>480</v>
      </c>
    </row>
    <row r="12" spans="1:10" x14ac:dyDescent="0.25">
      <c r="A12" s="10" t="s">
        <v>278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25">
      <c r="A13" s="12" t="s">
        <v>278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1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25">
      <c r="A14" s="10" t="s">
        <v>278</v>
      </c>
      <c r="B14" s="10" t="s">
        <v>45</v>
      </c>
      <c r="C14" s="10" t="s">
        <v>252</v>
      </c>
      <c r="D14" s="10" t="s">
        <v>79</v>
      </c>
      <c r="E14" s="20">
        <f t="shared" si="0"/>
        <v>454.99999999999989</v>
      </c>
      <c r="F14" s="20">
        <f t="shared" si="1"/>
        <v>26.999999999999986</v>
      </c>
      <c r="G14" s="20">
        <f t="shared" si="2"/>
        <v>25.000000000000114</v>
      </c>
      <c r="H14" s="21" t="str">
        <f t="shared" si="3"/>
        <v>Late</v>
      </c>
      <c r="I14" s="21">
        <v>480</v>
      </c>
    </row>
    <row r="15" spans="1:10" x14ac:dyDescent="0.25">
      <c r="A15" s="12" t="s">
        <v>278</v>
      </c>
      <c r="B15" s="12" t="s">
        <v>47</v>
      </c>
      <c r="C15" s="12" t="s">
        <v>170</v>
      </c>
      <c r="D15" s="12" t="s">
        <v>211</v>
      </c>
      <c r="E15" s="1">
        <f t="shared" si="0"/>
        <v>473.00000000000006</v>
      </c>
      <c r="F15" s="1">
        <f t="shared" si="1"/>
        <v>18.999999999999932</v>
      </c>
      <c r="G15" s="2">
        <f t="shared" si="2"/>
        <v>6.9999999999999432</v>
      </c>
      <c r="H15" s="4" t="str">
        <f t="shared" si="3"/>
        <v>Late</v>
      </c>
      <c r="I15" s="5">
        <v>480</v>
      </c>
    </row>
    <row r="16" spans="1:10" x14ac:dyDescent="0.25">
      <c r="A16" s="10" t="s">
        <v>278</v>
      </c>
      <c r="B16" s="10" t="s">
        <v>49</v>
      </c>
      <c r="C16" s="10" t="s">
        <v>253</v>
      </c>
      <c r="D16" s="10" t="s">
        <v>207</v>
      </c>
      <c r="E16" s="20">
        <f t="shared" si="0"/>
        <v>428</v>
      </c>
      <c r="F16" s="20">
        <f t="shared" si="1"/>
        <v>124.99999999999996</v>
      </c>
      <c r="G16" s="20">
        <f t="shared" si="2"/>
        <v>52</v>
      </c>
      <c r="H16" s="21" t="str">
        <f t="shared" si="3"/>
        <v>Late</v>
      </c>
      <c r="I16" s="21">
        <v>480</v>
      </c>
    </row>
    <row r="17" spans="1:9" x14ac:dyDescent="0.25">
      <c r="A17" s="12" t="s">
        <v>278</v>
      </c>
      <c r="B17" s="12" t="s">
        <v>50</v>
      </c>
      <c r="C17" s="12" t="s">
        <v>51</v>
      </c>
      <c r="D17" s="12" t="s">
        <v>157</v>
      </c>
      <c r="E17" s="1">
        <f t="shared" si="0"/>
        <v>518</v>
      </c>
      <c r="F17" s="1">
        <f t="shared" si="1"/>
        <v>28.999999999999979</v>
      </c>
      <c r="G17" s="2">
        <f t="shared" si="2"/>
        <v>0</v>
      </c>
      <c r="H17" s="4" t="str">
        <f t="shared" si="3"/>
        <v>Late</v>
      </c>
      <c r="I17" s="5">
        <v>480</v>
      </c>
    </row>
    <row r="18" spans="1:9" x14ac:dyDescent="0.25">
      <c r="A18" s="10" t="s">
        <v>278</v>
      </c>
      <c r="B18" s="10" t="s">
        <v>52</v>
      </c>
      <c r="C18" s="10" t="s">
        <v>111</v>
      </c>
      <c r="D18" s="10" t="s">
        <v>180</v>
      </c>
      <c r="E18" s="20">
        <f t="shared" si="0"/>
        <v>462.00000000000006</v>
      </c>
      <c r="F18" s="20">
        <f t="shared" si="1"/>
        <v>42.999999999999929</v>
      </c>
      <c r="G18" s="20">
        <f t="shared" si="2"/>
        <v>17.999999999999943</v>
      </c>
      <c r="H18" s="21" t="str">
        <f t="shared" si="3"/>
        <v>Late</v>
      </c>
      <c r="I18" s="21">
        <v>480</v>
      </c>
    </row>
    <row r="19" spans="1:9" x14ac:dyDescent="0.25">
      <c r="A19" s="12" t="s">
        <v>278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1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25">
      <c r="A20" s="10" t="s">
        <v>278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25">
      <c r="A21" s="12" t="s">
        <v>278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1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25">
      <c r="A22" s="10" t="s">
        <v>278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25">
      <c r="A23" s="12" t="s">
        <v>278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s="1" t="str">
        <f t="shared" si="1"/>
        <v/>
      </c>
      <c r="G23" s="2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6"/>
  <dimension ref="A1:J23"/>
  <sheetViews>
    <sheetView zoomScale="70" zoomScaleNormal="70" workbookViewId="0">
      <selection activeCell="G27" sqref="G27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4.8554687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277</v>
      </c>
      <c r="B2" s="10" t="s">
        <v>14</v>
      </c>
      <c r="C2" s="10" t="s">
        <v>195</v>
      </c>
      <c r="D2" s="10" t="s">
        <v>169</v>
      </c>
      <c r="E2" s="20">
        <f t="shared" ref="E2:E23" si="0">IF(OR(C2="Absent",D2="Absent",C2="",D2=""),"", (D2-C2)*1440)</f>
        <v>499.00000000000006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25">
      <c r="A3" s="12" t="s">
        <v>277</v>
      </c>
      <c r="B3" s="12" t="s">
        <v>17</v>
      </c>
      <c r="C3" s="12" t="s">
        <v>84</v>
      </c>
      <c r="D3" s="12" t="s">
        <v>27</v>
      </c>
      <c r="E3" s="1" t="e">
        <f t="shared" si="0"/>
        <v>#VALUE!</v>
      </c>
      <c r="F3" s="1">
        <f>IF(OR(C3="",C3="Absent"),"",
 MAX(0,(C3 - TIME(8,50,0))*1440))</f>
        <v>1.9999999999999929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277</v>
      </c>
      <c r="B4" s="10" t="s">
        <v>20</v>
      </c>
      <c r="C4" s="10" t="s">
        <v>121</v>
      </c>
      <c r="D4" s="10" t="s">
        <v>190</v>
      </c>
      <c r="E4" s="20">
        <f t="shared" si="0"/>
        <v>537.00000000000011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25">
      <c r="A5" s="12" t="s">
        <v>277</v>
      </c>
      <c r="B5" s="12" t="s">
        <v>22</v>
      </c>
      <c r="C5" s="12" t="s">
        <v>112</v>
      </c>
      <c r="D5" s="12" t="s">
        <v>120</v>
      </c>
      <c r="E5" s="1">
        <f t="shared" si="0"/>
        <v>534.99999999999989</v>
      </c>
      <c r="F5" s="1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277</v>
      </c>
      <c r="B6" s="10" t="s">
        <v>25</v>
      </c>
      <c r="C6" s="10" t="s">
        <v>231</v>
      </c>
      <c r="D6" s="10" t="s">
        <v>254</v>
      </c>
      <c r="E6" s="20">
        <f t="shared" si="0"/>
        <v>537.99999999999989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25">
      <c r="A7" s="12" t="s">
        <v>277</v>
      </c>
      <c r="B7" s="12" t="s">
        <v>28</v>
      </c>
      <c r="C7" s="12" t="s">
        <v>129</v>
      </c>
      <c r="D7" s="12" t="s">
        <v>173</v>
      </c>
      <c r="E7" s="1">
        <f t="shared" si="0"/>
        <v>516</v>
      </c>
      <c r="F7" s="1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25">
      <c r="A8" s="10" t="s">
        <v>277</v>
      </c>
      <c r="B8" s="10" t="s">
        <v>31</v>
      </c>
      <c r="C8" s="10" t="s">
        <v>214</v>
      </c>
      <c r="D8" s="10" t="s">
        <v>163</v>
      </c>
      <c r="E8" s="20">
        <f t="shared" si="0"/>
        <v>498</v>
      </c>
      <c r="F8" s="20">
        <f t="shared" si="1"/>
        <v>9.9999999999999645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25">
      <c r="A9" s="12" t="s">
        <v>277</v>
      </c>
      <c r="B9" s="12" t="s">
        <v>34</v>
      </c>
      <c r="C9" s="12" t="s">
        <v>231</v>
      </c>
      <c r="D9" s="12" t="s">
        <v>123</v>
      </c>
      <c r="E9" s="1">
        <f t="shared" si="0"/>
        <v>493.99999999999994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277</v>
      </c>
      <c r="B10" s="10" t="s">
        <v>36</v>
      </c>
      <c r="C10" s="10" t="s">
        <v>126</v>
      </c>
      <c r="D10" s="10" t="s">
        <v>226</v>
      </c>
      <c r="E10" s="20">
        <f t="shared" si="0"/>
        <v>536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25">
      <c r="A11" s="12" t="s">
        <v>277</v>
      </c>
      <c r="B11" s="12" t="s">
        <v>38</v>
      </c>
      <c r="C11" s="12" t="s">
        <v>129</v>
      </c>
      <c r="D11" s="12" t="s">
        <v>240</v>
      </c>
      <c r="E11" s="1">
        <f t="shared" si="0"/>
        <v>562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25">
      <c r="A12" s="10" t="s">
        <v>277</v>
      </c>
      <c r="B12" s="10" t="s">
        <v>40</v>
      </c>
      <c r="C12" s="10" t="s">
        <v>74</v>
      </c>
      <c r="D12" s="10" t="s">
        <v>107</v>
      </c>
      <c r="E12" s="20">
        <f t="shared" si="0"/>
        <v>506.00000000000006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  <c r="J12" s="25"/>
    </row>
    <row r="13" spans="1:10" x14ac:dyDescent="0.25">
      <c r="A13" s="12" t="s">
        <v>277</v>
      </c>
      <c r="B13" s="12" t="s">
        <v>43</v>
      </c>
      <c r="C13" s="12" t="s">
        <v>198</v>
      </c>
      <c r="D13" s="12" t="s">
        <v>255</v>
      </c>
      <c r="E13" s="1">
        <f t="shared" si="0"/>
        <v>510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25">
      <c r="A14" s="10" t="s">
        <v>277</v>
      </c>
      <c r="B14" s="10" t="s">
        <v>45</v>
      </c>
      <c r="C14" s="10" t="s">
        <v>121</v>
      </c>
      <c r="D14" s="10" t="s">
        <v>42</v>
      </c>
      <c r="E14" s="20">
        <f t="shared" si="0"/>
        <v>536.00000000000011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25">
      <c r="A15" s="12" t="s">
        <v>277</v>
      </c>
      <c r="B15" s="12" t="s">
        <v>47</v>
      </c>
      <c r="C15" s="12" t="s">
        <v>82</v>
      </c>
      <c r="D15" s="12" t="s">
        <v>177</v>
      </c>
      <c r="E15" s="1">
        <f t="shared" si="0"/>
        <v>498</v>
      </c>
      <c r="F15" s="1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25">
      <c r="A16" s="10" t="s">
        <v>277</v>
      </c>
      <c r="B16" s="10" t="s">
        <v>49</v>
      </c>
      <c r="C16" s="10" t="s">
        <v>94</v>
      </c>
      <c r="D16" s="10" t="s">
        <v>125</v>
      </c>
      <c r="E16" s="20">
        <f t="shared" si="0"/>
        <v>532.00000000000011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10" x14ac:dyDescent="0.25">
      <c r="A17" s="12" t="s">
        <v>277</v>
      </c>
      <c r="B17" s="12" t="s">
        <v>50</v>
      </c>
      <c r="C17" s="12" t="s">
        <v>74</v>
      </c>
      <c r="D17" s="12" t="s">
        <v>79</v>
      </c>
      <c r="E17" s="1">
        <f t="shared" si="0"/>
        <v>486.99999999999994</v>
      </c>
      <c r="F17" s="1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10" x14ac:dyDescent="0.25">
      <c r="A18" s="10" t="s">
        <v>277</v>
      </c>
      <c r="B18" s="10" t="s">
        <v>52</v>
      </c>
      <c r="C18" s="10" t="s">
        <v>112</v>
      </c>
      <c r="D18" s="10" t="s">
        <v>256</v>
      </c>
      <c r="E18" s="20">
        <f t="shared" si="0"/>
        <v>491.99999999999994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10" x14ac:dyDescent="0.25">
      <c r="A19" s="12" t="s">
        <v>277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1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  <c r="J19" s="25"/>
    </row>
    <row r="20" spans="1:10" x14ac:dyDescent="0.25">
      <c r="A20" s="10" t="s">
        <v>277</v>
      </c>
      <c r="B20" s="10" t="s">
        <v>57</v>
      </c>
      <c r="C20" s="10" t="s">
        <v>94</v>
      </c>
      <c r="D20" s="10" t="s">
        <v>257</v>
      </c>
      <c r="E20" s="20">
        <f t="shared" si="0"/>
        <v>496.00000000000006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10" x14ac:dyDescent="0.25">
      <c r="A21" s="12" t="s">
        <v>277</v>
      </c>
      <c r="B21" s="12" t="s">
        <v>60</v>
      </c>
      <c r="C21" s="12" t="s">
        <v>154</v>
      </c>
      <c r="D21" s="12" t="s">
        <v>24</v>
      </c>
      <c r="E21" s="1">
        <f t="shared" si="0"/>
        <v>516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10" x14ac:dyDescent="0.25">
      <c r="A22" s="10" t="s">
        <v>277</v>
      </c>
      <c r="B22" s="10" t="s">
        <v>63</v>
      </c>
      <c r="C22" s="10" t="s">
        <v>150</v>
      </c>
      <c r="D22" s="10" t="s">
        <v>171</v>
      </c>
      <c r="E22" s="20">
        <f t="shared" si="0"/>
        <v>514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10" x14ac:dyDescent="0.25">
      <c r="A23" s="12" t="s">
        <v>277</v>
      </c>
      <c r="B23" s="12" t="s">
        <v>66</v>
      </c>
      <c r="C23" s="12" t="s">
        <v>144</v>
      </c>
      <c r="D23" s="12" t="s">
        <v>258</v>
      </c>
      <c r="E23" s="1">
        <f t="shared" si="0"/>
        <v>473.00000000000006</v>
      </c>
      <c r="F23" s="4">
        <f t="shared" si="1"/>
        <v>0</v>
      </c>
      <c r="G23" s="2">
        <f t="shared" si="2"/>
        <v>6.9999999999999432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/>
  <dimension ref="A1:J24"/>
  <sheetViews>
    <sheetView zoomScale="70" zoomScaleNormal="70" workbookViewId="0">
      <selection activeCell="A28" sqref="A28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4.285156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276</v>
      </c>
      <c r="B2" s="22" t="s">
        <v>14</v>
      </c>
      <c r="C2" s="22" t="s">
        <v>18</v>
      </c>
      <c r="D2" s="22" t="s">
        <v>133</v>
      </c>
      <c r="E2" s="20">
        <f t="shared" ref="E2:E23" si="0">IF(OR(C2="Absent",D2="Absent",C2="",D2=""),"", (D2-C2)*1440)</f>
        <v>523.00000000000011</v>
      </c>
      <c r="F2" s="20">
        <f>IF(OR(C2="",C2="Absent"),"",
 MAX(0,(C2 - TIME(8,50,0))*1440))</f>
        <v>17.999999999999936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276</v>
      </c>
      <c r="B3" s="12" t="s">
        <v>17</v>
      </c>
      <c r="C3" s="12" t="s">
        <v>58</v>
      </c>
      <c r="D3" s="12" t="s">
        <v>27</v>
      </c>
      <c r="E3" s="1" t="e">
        <f t="shared" si="0"/>
        <v>#VALUE!</v>
      </c>
      <c r="F3">
        <f>IF(OR(C3="",C3="Absent"),"",
 MAX(0,(C3 - TIME(8,50,0))*1440))</f>
        <v>38.999999999999943</v>
      </c>
      <c r="G3" s="44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276</v>
      </c>
      <c r="B4" s="22" t="s">
        <v>20</v>
      </c>
      <c r="C4" s="22" t="s">
        <v>35</v>
      </c>
      <c r="D4" s="22" t="s">
        <v>173</v>
      </c>
      <c r="E4" s="20">
        <f t="shared" si="0"/>
        <v>478.00000000000006</v>
      </c>
      <c r="F4" s="20">
        <f t="shared" ref="F4:F23" si="1">IF(OR(C4="",C4="Absent"),"",
MAX(0,(C4 - TIME(8,50,0))*1440))</f>
        <v>20.999999999999925</v>
      </c>
      <c r="G4" s="20">
        <f t="shared" ref="G4:G23" si="2">IF(C4="","",
MAX(0,480 - E4))</f>
        <v>1.9999999999999432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276</v>
      </c>
      <c r="B5" s="12" t="s">
        <v>22</v>
      </c>
      <c r="C5" s="12" t="s">
        <v>64</v>
      </c>
      <c r="D5" s="12" t="s">
        <v>240</v>
      </c>
      <c r="E5" s="1">
        <f t="shared" si="0"/>
        <v>514</v>
      </c>
      <c r="F5">
        <f t="shared" si="1"/>
        <v>30.999999999999972</v>
      </c>
      <c r="G5" s="44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276</v>
      </c>
      <c r="B6" s="22" t="s">
        <v>25</v>
      </c>
      <c r="C6" s="22" t="s">
        <v>100</v>
      </c>
      <c r="D6" s="22" t="s">
        <v>245</v>
      </c>
      <c r="E6" s="20">
        <f t="shared" si="0"/>
        <v>495.99999999999994</v>
      </c>
      <c r="F6" s="20">
        <f t="shared" si="1"/>
        <v>22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276</v>
      </c>
      <c r="B7" s="12" t="s">
        <v>28</v>
      </c>
      <c r="C7" s="12" t="s">
        <v>61</v>
      </c>
      <c r="D7" s="12" t="s">
        <v>239</v>
      </c>
      <c r="E7" s="1">
        <f t="shared" si="0"/>
        <v>505.00000000000006</v>
      </c>
      <c r="F7">
        <f t="shared" si="1"/>
        <v>34.999999999999957</v>
      </c>
      <c r="G7" s="44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276</v>
      </c>
      <c r="B8" s="22" t="s">
        <v>31</v>
      </c>
      <c r="C8" s="22" t="s">
        <v>23</v>
      </c>
      <c r="D8" s="22" t="s">
        <v>76</v>
      </c>
      <c r="E8" s="20">
        <f t="shared" si="0"/>
        <v>451.99999999999989</v>
      </c>
      <c r="F8" s="20">
        <f t="shared" si="1"/>
        <v>23</v>
      </c>
      <c r="G8" s="20">
        <f t="shared" si="2"/>
        <v>28.000000000000114</v>
      </c>
      <c r="H8" s="21" t="str">
        <f t="shared" si="3"/>
        <v>Late</v>
      </c>
      <c r="I8" s="21">
        <v>480</v>
      </c>
    </row>
    <row r="9" spans="1:10" x14ac:dyDescent="0.25">
      <c r="A9" s="12" t="s">
        <v>276</v>
      </c>
      <c r="B9" s="12" t="s">
        <v>34</v>
      </c>
      <c r="C9" s="12" t="s">
        <v>98</v>
      </c>
      <c r="D9" s="12" t="s">
        <v>27</v>
      </c>
      <c r="E9" s="1" t="e">
        <f t="shared" si="0"/>
        <v>#VALUE!</v>
      </c>
      <c r="F9">
        <f t="shared" si="1"/>
        <v>16.99999999999994</v>
      </c>
      <c r="G9" s="44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25">
      <c r="A10" s="10" t="s">
        <v>276</v>
      </c>
      <c r="B10" s="22" t="s">
        <v>36</v>
      </c>
      <c r="C10" s="22" t="s">
        <v>238</v>
      </c>
      <c r="D10" s="22" t="s">
        <v>259</v>
      </c>
      <c r="E10" s="20">
        <f t="shared" si="0"/>
        <v>535.99999999999989</v>
      </c>
      <c r="F10" s="20">
        <f t="shared" si="1"/>
        <v>25.999999999999986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276</v>
      </c>
      <c r="B11" s="12" t="s">
        <v>38</v>
      </c>
      <c r="C11" s="12" t="s">
        <v>67</v>
      </c>
      <c r="D11" s="12" t="s">
        <v>67</v>
      </c>
      <c r="E11" s="1">
        <f t="shared" si="0"/>
        <v>0</v>
      </c>
      <c r="F11">
        <f t="shared" si="1"/>
        <v>36.99999999999995</v>
      </c>
      <c r="G11" s="44">
        <f t="shared" si="2"/>
        <v>480</v>
      </c>
      <c r="H11" s="4" t="str">
        <f t="shared" si="3"/>
        <v>Late</v>
      </c>
      <c r="I11" s="5">
        <v>480</v>
      </c>
    </row>
    <row r="12" spans="1:10" x14ac:dyDescent="0.25">
      <c r="A12" s="10" t="s">
        <v>276</v>
      </c>
      <c r="B12" s="22" t="s">
        <v>40</v>
      </c>
      <c r="C12" s="22" t="s">
        <v>46</v>
      </c>
      <c r="D12" s="22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25">
      <c r="A13" s="12" t="s">
        <v>276</v>
      </c>
      <c r="B13" s="12" t="s">
        <v>43</v>
      </c>
      <c r="C13" s="12" t="s">
        <v>260</v>
      </c>
      <c r="D13" s="12" t="s">
        <v>27</v>
      </c>
      <c r="E13" s="1" t="e">
        <f t="shared" si="0"/>
        <v>#VALUE!</v>
      </c>
      <c r="F13">
        <f t="shared" si="1"/>
        <v>37.999999999999943</v>
      </c>
      <c r="G13" s="44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25">
      <c r="A14" s="10" t="s">
        <v>276</v>
      </c>
      <c r="B14" s="22" t="s">
        <v>45</v>
      </c>
      <c r="C14" s="22" t="s">
        <v>46</v>
      </c>
      <c r="D14" s="22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25">
      <c r="A15" s="12" t="s">
        <v>276</v>
      </c>
      <c r="B15" s="12" t="s">
        <v>47</v>
      </c>
      <c r="C15" s="12" t="s">
        <v>98</v>
      </c>
      <c r="D15" s="12" t="s">
        <v>261</v>
      </c>
      <c r="E15" s="1">
        <f t="shared" si="0"/>
        <v>541</v>
      </c>
      <c r="F15">
        <f t="shared" si="1"/>
        <v>16.99999999999994</v>
      </c>
      <c r="G15" s="44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276</v>
      </c>
      <c r="B16" s="22" t="s">
        <v>49</v>
      </c>
      <c r="C16" s="22" t="s">
        <v>222</v>
      </c>
      <c r="D16" s="22" t="s">
        <v>180</v>
      </c>
      <c r="E16" s="20">
        <f t="shared" si="0"/>
        <v>485.00000000000006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276</v>
      </c>
      <c r="B17" s="12" t="s">
        <v>50</v>
      </c>
      <c r="C17" s="12" t="s">
        <v>18</v>
      </c>
      <c r="D17" s="12" t="s">
        <v>27</v>
      </c>
      <c r="E17" s="1" t="e">
        <f t="shared" si="0"/>
        <v>#VALUE!</v>
      </c>
      <c r="F17">
        <f t="shared" si="1"/>
        <v>17.999999999999936</v>
      </c>
      <c r="G17" s="44" t="e">
        <f t="shared" si="2"/>
        <v>#VALUE!</v>
      </c>
      <c r="H17" s="4" t="str">
        <f t="shared" si="3"/>
        <v>Missing</v>
      </c>
      <c r="I17" s="5">
        <v>480</v>
      </c>
    </row>
    <row r="18" spans="1:9" x14ac:dyDescent="0.25">
      <c r="A18" s="10" t="s">
        <v>276</v>
      </c>
      <c r="B18" s="22" t="s">
        <v>52</v>
      </c>
      <c r="C18" s="22" t="s">
        <v>238</v>
      </c>
      <c r="D18" s="22" t="s">
        <v>27</v>
      </c>
      <c r="E18" s="20" t="e">
        <f t="shared" si="0"/>
        <v>#VALUE!</v>
      </c>
      <c r="F18" s="20">
        <f t="shared" si="1"/>
        <v>25.999999999999986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25">
      <c r="A19" s="12" t="s">
        <v>276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t="str">
        <f t="shared" si="1"/>
        <v/>
      </c>
      <c r="G19" s="44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25">
      <c r="A20" s="10" t="s">
        <v>276</v>
      </c>
      <c r="B20" s="22" t="s">
        <v>57</v>
      </c>
      <c r="C20" s="22" t="s">
        <v>46</v>
      </c>
      <c r="D20" s="22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25">
      <c r="A21" s="12" t="s">
        <v>276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t="str">
        <f t="shared" si="1"/>
        <v/>
      </c>
      <c r="G21" s="44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25">
      <c r="A22" s="10" t="s">
        <v>276</v>
      </c>
      <c r="B22" s="22" t="s">
        <v>63</v>
      </c>
      <c r="C22" s="22" t="s">
        <v>46</v>
      </c>
      <c r="D22" s="22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25">
      <c r="A23" s="12" t="s">
        <v>276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t="str">
        <f t="shared" si="1"/>
        <v/>
      </c>
      <c r="G23" s="44" t="e">
        <f t="shared" si="2"/>
        <v>#VALUE!</v>
      </c>
      <c r="H23" s="4" t="str">
        <f t="shared" si="3"/>
        <v>Absent</v>
      </c>
      <c r="I23" s="5">
        <v>480</v>
      </c>
    </row>
    <row r="24" spans="1:9" x14ac:dyDescent="0.25">
      <c r="G24" s="4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0"/>
  <dimension ref="A1:J23"/>
  <sheetViews>
    <sheetView zoomScale="70" zoomScaleNormal="70" workbookViewId="0">
      <selection activeCell="J8" sqref="J8:J25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6.140625" customWidth="1"/>
    <col min="6" max="6" width="15.140625" customWidth="1"/>
    <col min="7" max="7" width="16" customWidth="1"/>
    <col min="8" max="8" width="13.140625" customWidth="1"/>
    <col min="9" max="9" width="10.85546875" customWidth="1"/>
    <col min="10" max="10" width="49.42578125" customWidth="1"/>
  </cols>
  <sheetData>
    <row r="1" spans="1:10" ht="37.5" customHeight="1" x14ac:dyDescent="0.25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25">
      <c r="A2" s="10" t="s">
        <v>275</v>
      </c>
      <c r="B2" s="10" t="s">
        <v>14</v>
      </c>
      <c r="C2" s="10" t="s">
        <v>18</v>
      </c>
      <c r="D2" s="10" t="s">
        <v>133</v>
      </c>
      <c r="E2" s="20">
        <f t="shared" ref="E2:E23" si="0">IF(OR(C2="Absent",D2="Absent",C2="",D2=""),"", (D2-C2)*1440)</f>
        <v>523.00000000000011</v>
      </c>
      <c r="F2" s="20">
        <f>IF(OR(C2="",C2="Absent"),"",
 MAX(0,(C2 - TIME(8,50,0))*1440))</f>
        <v>17.999999999999936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25">
      <c r="A3" s="12" t="s">
        <v>275</v>
      </c>
      <c r="B3" s="12" t="s">
        <v>17</v>
      </c>
      <c r="C3" s="12" t="s">
        <v>58</v>
      </c>
      <c r="D3" s="12" t="s">
        <v>27</v>
      </c>
      <c r="E3" s="1" t="e">
        <f t="shared" si="0"/>
        <v>#VALUE!</v>
      </c>
      <c r="F3">
        <f>IF(OR(C3="",C3="Absent"),"",
 MAX(0,(C3 - TIME(8,50,0))*1440))</f>
        <v>38.999999999999943</v>
      </c>
      <c r="G3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25">
      <c r="A4" s="10" t="s">
        <v>275</v>
      </c>
      <c r="B4" s="10" t="s">
        <v>20</v>
      </c>
      <c r="C4" s="10" t="s">
        <v>35</v>
      </c>
      <c r="D4" s="10" t="s">
        <v>173</v>
      </c>
      <c r="E4" s="20">
        <f t="shared" si="0"/>
        <v>478.00000000000006</v>
      </c>
      <c r="F4" s="20">
        <f t="shared" ref="F4:F23" si="1">IF(OR(C4="",C4="Absent"),"",
MAX(0,(C4 - TIME(8,50,0))*1440))</f>
        <v>20.999999999999925</v>
      </c>
      <c r="G4" s="20">
        <f t="shared" ref="G4:G23" si="2">IF(C4="","",
MAX(0,480 - E4))</f>
        <v>1.9999999999999432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25">
      <c r="A5" s="12" t="s">
        <v>275</v>
      </c>
      <c r="B5" s="12" t="s">
        <v>22</v>
      </c>
      <c r="C5" s="12" t="s">
        <v>64</v>
      </c>
      <c r="D5" s="12" t="s">
        <v>240</v>
      </c>
      <c r="E5" s="1">
        <f t="shared" si="0"/>
        <v>514</v>
      </c>
      <c r="F5">
        <f t="shared" si="1"/>
        <v>30.999999999999972</v>
      </c>
      <c r="G5">
        <f t="shared" si="2"/>
        <v>0</v>
      </c>
      <c r="H5" s="4" t="str">
        <f t="shared" si="3"/>
        <v>Late</v>
      </c>
      <c r="I5" s="5">
        <v>480</v>
      </c>
    </row>
    <row r="6" spans="1:10" x14ac:dyDescent="0.25">
      <c r="A6" s="10" t="s">
        <v>275</v>
      </c>
      <c r="B6" s="10" t="s">
        <v>25</v>
      </c>
      <c r="C6" s="10" t="s">
        <v>100</v>
      </c>
      <c r="D6" s="10" t="s">
        <v>245</v>
      </c>
      <c r="E6" s="20">
        <f t="shared" si="0"/>
        <v>495.99999999999994</v>
      </c>
      <c r="F6" s="20">
        <f t="shared" si="1"/>
        <v>22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25">
      <c r="A7" s="12" t="s">
        <v>275</v>
      </c>
      <c r="B7" s="12" t="s">
        <v>28</v>
      </c>
      <c r="C7" s="12" t="s">
        <v>61</v>
      </c>
      <c r="D7" s="12" t="s">
        <v>239</v>
      </c>
      <c r="E7" s="1">
        <f t="shared" si="0"/>
        <v>505.00000000000006</v>
      </c>
      <c r="F7">
        <f t="shared" si="1"/>
        <v>34.999999999999957</v>
      </c>
      <c r="G7">
        <f t="shared" si="2"/>
        <v>0</v>
      </c>
      <c r="H7" s="4" t="str">
        <f t="shared" si="3"/>
        <v>Late</v>
      </c>
      <c r="I7" s="5">
        <v>480</v>
      </c>
    </row>
    <row r="8" spans="1:10" x14ac:dyDescent="0.25">
      <c r="A8" s="10" t="s">
        <v>275</v>
      </c>
      <c r="B8" s="10" t="s">
        <v>31</v>
      </c>
      <c r="C8" s="10" t="s">
        <v>23</v>
      </c>
      <c r="D8" s="10" t="s">
        <v>76</v>
      </c>
      <c r="E8" s="20">
        <f t="shared" si="0"/>
        <v>451.99999999999989</v>
      </c>
      <c r="F8" s="20">
        <f t="shared" si="1"/>
        <v>23</v>
      </c>
      <c r="G8" s="20">
        <f t="shared" si="2"/>
        <v>28.000000000000114</v>
      </c>
      <c r="H8" s="21" t="str">
        <f t="shared" si="3"/>
        <v>Late</v>
      </c>
      <c r="I8" s="21">
        <v>480</v>
      </c>
    </row>
    <row r="9" spans="1:10" x14ac:dyDescent="0.25">
      <c r="A9" s="12" t="s">
        <v>275</v>
      </c>
      <c r="B9" s="12" t="s">
        <v>34</v>
      </c>
      <c r="C9" s="12" t="s">
        <v>98</v>
      </c>
      <c r="D9" s="12" t="s">
        <v>27</v>
      </c>
      <c r="E9" s="1" t="e">
        <f t="shared" si="0"/>
        <v>#VALUE!</v>
      </c>
      <c r="F9">
        <f t="shared" si="1"/>
        <v>16.99999999999994</v>
      </c>
      <c r="G9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25">
      <c r="A10" s="10" t="s">
        <v>275</v>
      </c>
      <c r="B10" s="10" t="s">
        <v>36</v>
      </c>
      <c r="C10" s="10" t="s">
        <v>238</v>
      </c>
      <c r="D10" s="10" t="s">
        <v>259</v>
      </c>
      <c r="E10" s="20">
        <f t="shared" si="0"/>
        <v>535.99999999999989</v>
      </c>
      <c r="F10" s="20">
        <f t="shared" si="1"/>
        <v>25.999999999999986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25">
      <c r="A11" s="12" t="s">
        <v>275</v>
      </c>
      <c r="B11" s="12" t="s">
        <v>38</v>
      </c>
      <c r="C11" s="12" t="s">
        <v>67</v>
      </c>
      <c r="D11" s="12" t="s">
        <v>67</v>
      </c>
      <c r="E11" s="1">
        <f t="shared" si="0"/>
        <v>0</v>
      </c>
      <c r="F11">
        <f t="shared" si="1"/>
        <v>36.99999999999995</v>
      </c>
      <c r="G11">
        <f t="shared" si="2"/>
        <v>480</v>
      </c>
      <c r="H11" s="4" t="str">
        <f t="shared" si="3"/>
        <v>Late</v>
      </c>
      <c r="I11" s="5">
        <v>480</v>
      </c>
    </row>
    <row r="12" spans="1:10" x14ac:dyDescent="0.25">
      <c r="A12" s="10" t="s">
        <v>275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25">
      <c r="A13" s="12" t="s">
        <v>275</v>
      </c>
      <c r="B13" s="12" t="s">
        <v>43</v>
      </c>
      <c r="C13" s="12" t="s">
        <v>260</v>
      </c>
      <c r="D13" s="12" t="s">
        <v>27</v>
      </c>
      <c r="E13" s="1" t="e">
        <f t="shared" si="0"/>
        <v>#VALUE!</v>
      </c>
      <c r="F13">
        <f t="shared" si="1"/>
        <v>37.999999999999943</v>
      </c>
      <c r="G13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25">
      <c r="A14" s="10" t="s">
        <v>275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25">
      <c r="A15" s="12" t="s">
        <v>275</v>
      </c>
      <c r="B15" s="12" t="s">
        <v>47</v>
      </c>
      <c r="C15" s="12" t="s">
        <v>98</v>
      </c>
      <c r="D15" s="12" t="s">
        <v>261</v>
      </c>
      <c r="E15" s="1">
        <f t="shared" si="0"/>
        <v>541</v>
      </c>
      <c r="F15">
        <f t="shared" si="1"/>
        <v>16.99999999999994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25">
      <c r="A16" s="10" t="s">
        <v>275</v>
      </c>
      <c r="B16" s="10" t="s">
        <v>49</v>
      </c>
      <c r="C16" s="10" t="s">
        <v>222</v>
      </c>
      <c r="D16" s="10" t="s">
        <v>180</v>
      </c>
      <c r="E16" s="20">
        <f t="shared" si="0"/>
        <v>485.00000000000006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25">
      <c r="A17" s="12" t="s">
        <v>275</v>
      </c>
      <c r="B17" s="12" t="s">
        <v>50</v>
      </c>
      <c r="C17" s="12" t="s">
        <v>18</v>
      </c>
      <c r="D17" s="12" t="s">
        <v>27</v>
      </c>
      <c r="E17" s="1" t="e">
        <f t="shared" si="0"/>
        <v>#VALUE!</v>
      </c>
      <c r="F17">
        <f t="shared" si="1"/>
        <v>17.999999999999936</v>
      </c>
      <c r="G17" t="e">
        <f t="shared" si="2"/>
        <v>#VALUE!</v>
      </c>
      <c r="H17" s="4" t="str">
        <f t="shared" si="3"/>
        <v>Missing</v>
      </c>
      <c r="I17" s="5">
        <v>480</v>
      </c>
    </row>
    <row r="18" spans="1:9" x14ac:dyDescent="0.25">
      <c r="A18" s="10" t="s">
        <v>275</v>
      </c>
      <c r="B18" s="10" t="s">
        <v>52</v>
      </c>
      <c r="C18" s="10" t="s">
        <v>238</v>
      </c>
      <c r="D18" s="10" t="s">
        <v>27</v>
      </c>
      <c r="E18" s="20" t="e">
        <f t="shared" si="0"/>
        <v>#VALUE!</v>
      </c>
      <c r="F18" s="20">
        <f t="shared" si="1"/>
        <v>25.999999999999986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25">
      <c r="A19" s="12" t="s">
        <v>275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t="str">
        <f t="shared" si="1"/>
        <v/>
      </c>
      <c r="G19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25">
      <c r="A20" s="10" t="s">
        <v>275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25">
      <c r="A21" s="12" t="s">
        <v>275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t="str">
        <f t="shared" si="1"/>
        <v/>
      </c>
      <c r="G21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25">
      <c r="A22" s="10" t="s">
        <v>275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25">
      <c r="A23" s="12" t="s">
        <v>275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t="str">
        <f t="shared" si="1"/>
        <v/>
      </c>
      <c r="G23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/>
  <dimension ref="A1:J23"/>
  <sheetViews>
    <sheetView zoomScale="70" zoomScaleNormal="70" workbookViewId="0">
      <selection activeCell="A4" sqref="A4:A23"/>
    </sheetView>
  </sheetViews>
  <sheetFormatPr defaultRowHeight="15" x14ac:dyDescent="0.25"/>
  <cols>
    <col min="1" max="1" width="36" customWidth="1"/>
    <col min="2" max="2" width="16.140625" customWidth="1"/>
    <col min="3" max="3" width="20.7109375" customWidth="1"/>
    <col min="4" max="4" width="19.28515625" customWidth="1"/>
    <col min="5" max="5" width="18.5703125" customWidth="1"/>
    <col min="6" max="6" width="11.7109375" customWidth="1"/>
    <col min="7" max="7" width="15" customWidth="1"/>
    <col min="8" max="8" width="13.140625" customWidth="1"/>
    <col min="9" max="9" width="10.85546875" customWidth="1"/>
    <col min="10" max="10" width="38.140625" customWidth="1"/>
  </cols>
  <sheetData>
    <row r="1" spans="1:10" ht="37.5" customHeight="1" x14ac:dyDescent="0.25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8" t="s">
        <v>11</v>
      </c>
      <c r="I1" s="9" t="s">
        <v>12</v>
      </c>
      <c r="J1" s="24" t="s">
        <v>13</v>
      </c>
    </row>
    <row r="2" spans="1:10" x14ac:dyDescent="0.25">
      <c r="A2" s="10" t="s">
        <v>274</v>
      </c>
      <c r="B2" s="10" t="s">
        <v>14</v>
      </c>
      <c r="C2" s="10" t="s">
        <v>126</v>
      </c>
      <c r="D2" s="10" t="s">
        <v>200</v>
      </c>
      <c r="E2" s="19">
        <f>IF(OR(C2="Absent",D2="Absent",C2="",D2=""),"", (D2-C2)*1440)</f>
        <v>621</v>
      </c>
      <c r="F2" s="19">
        <f>IF(OR(C2="",C2="Absent"),"",
 MAX(0,(C2 - TIME(8,50,0))*1440))</f>
        <v>0</v>
      </c>
      <c r="G2" s="19">
        <f>IF(C2="","",
 MAX(0,480 - E2))</f>
        <v>0</v>
      </c>
      <c r="H2" s="20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19">
        <v>480</v>
      </c>
    </row>
    <row r="3" spans="1:10" x14ac:dyDescent="0.25">
      <c r="A3" s="12" t="s">
        <v>274</v>
      </c>
      <c r="B3" s="12" t="s">
        <v>17</v>
      </c>
      <c r="C3" s="12" t="s">
        <v>92</v>
      </c>
      <c r="D3" s="12" t="s">
        <v>83</v>
      </c>
      <c r="E3" s="1">
        <f t="shared" ref="E3:E23" si="0">IF(OR(C3="Absent",D3="Absent",C3="",D3=""),"", (D3-C3)*1440)</f>
        <v>475</v>
      </c>
      <c r="F3" s="1">
        <f>IF(OR(C3="",C3="Absent"),"",
 MAX(0,(C3 - TIME(8,50,0))*1440))</f>
        <v>0</v>
      </c>
      <c r="G3" s="2">
        <f>IF(C3="","",
 MAX(0,480 - E3))</f>
        <v>5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25">
      <c r="A4" s="10" t="s">
        <v>274</v>
      </c>
      <c r="B4" s="10" t="s">
        <v>20</v>
      </c>
      <c r="C4" s="10" t="s">
        <v>235</v>
      </c>
      <c r="D4" s="10" t="s">
        <v>27</v>
      </c>
      <c r="E4" s="19" t="e">
        <f t="shared" si="0"/>
        <v>#VALUE!</v>
      </c>
      <c r="F4" s="19">
        <f t="shared" ref="F4:F23" si="1">IF(OR(C4="",C4="Absent"),"",
MAX(0,(C4 - TIME(8,50,0))*1440))</f>
        <v>471.99999999999994</v>
      </c>
      <c r="G4" s="19" t="e">
        <f t="shared" ref="G4:G23" si="2">IF(C4="","",
MAX(0,480 - E4))</f>
        <v>#VALUE!</v>
      </c>
      <c r="H4" s="20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19">
        <v>480</v>
      </c>
    </row>
    <row r="5" spans="1:10" x14ac:dyDescent="0.25">
      <c r="A5" s="12" t="s">
        <v>274</v>
      </c>
      <c r="B5" s="12" t="s">
        <v>22</v>
      </c>
      <c r="C5" s="12" t="s">
        <v>95</v>
      </c>
      <c r="D5" s="12" t="s">
        <v>127</v>
      </c>
      <c r="E5" s="1">
        <f t="shared" si="0"/>
        <v>557</v>
      </c>
      <c r="F5" s="1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25">
      <c r="A6" s="10" t="s">
        <v>274</v>
      </c>
      <c r="B6" s="10" t="s">
        <v>25</v>
      </c>
      <c r="C6" s="10" t="s">
        <v>202</v>
      </c>
      <c r="D6" s="10" t="s">
        <v>137</v>
      </c>
      <c r="E6" s="19">
        <f t="shared" si="0"/>
        <v>539.00000000000011</v>
      </c>
      <c r="F6" s="19">
        <f t="shared" si="1"/>
        <v>0</v>
      </c>
      <c r="G6" s="19">
        <f t="shared" si="2"/>
        <v>0</v>
      </c>
      <c r="H6" s="20" t="str">
        <f t="shared" si="3"/>
        <v>On Time</v>
      </c>
      <c r="I6" s="19">
        <v>480</v>
      </c>
    </row>
    <row r="7" spans="1:10" x14ac:dyDescent="0.25">
      <c r="A7" s="12" t="s">
        <v>274</v>
      </c>
      <c r="B7" s="12" t="s">
        <v>28</v>
      </c>
      <c r="C7" s="12" t="s">
        <v>90</v>
      </c>
      <c r="D7" s="12" t="s">
        <v>81</v>
      </c>
      <c r="E7" s="1">
        <f t="shared" si="0"/>
        <v>462.99999999999994</v>
      </c>
      <c r="F7" s="1">
        <f t="shared" si="1"/>
        <v>4.9999999999999822</v>
      </c>
      <c r="G7" s="2">
        <f t="shared" si="2"/>
        <v>17.000000000000057</v>
      </c>
      <c r="H7" s="4" t="str">
        <f t="shared" si="3"/>
        <v>Late</v>
      </c>
      <c r="I7" s="5">
        <v>480</v>
      </c>
    </row>
    <row r="8" spans="1:10" x14ac:dyDescent="0.25">
      <c r="A8" s="10" t="s">
        <v>274</v>
      </c>
      <c r="B8" s="10" t="s">
        <v>31</v>
      </c>
      <c r="C8" s="10" t="s">
        <v>239</v>
      </c>
      <c r="D8" s="10" t="s">
        <v>27</v>
      </c>
      <c r="E8" s="19" t="e">
        <f t="shared" si="0"/>
        <v>#VALUE!</v>
      </c>
      <c r="F8" s="19">
        <f t="shared" si="1"/>
        <v>540</v>
      </c>
      <c r="G8" s="19" t="e">
        <f t="shared" si="2"/>
        <v>#VALUE!</v>
      </c>
      <c r="H8" s="20" t="str">
        <f t="shared" si="3"/>
        <v>Missing</v>
      </c>
      <c r="I8" s="19">
        <v>480</v>
      </c>
    </row>
    <row r="9" spans="1:10" x14ac:dyDescent="0.25">
      <c r="A9" s="12" t="s">
        <v>274</v>
      </c>
      <c r="B9" s="12" t="s">
        <v>34</v>
      </c>
      <c r="C9" s="12" t="s">
        <v>112</v>
      </c>
      <c r="D9" s="12" t="s">
        <v>190</v>
      </c>
      <c r="E9" s="1">
        <f t="shared" si="0"/>
        <v>545.00000000000011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25">
      <c r="A10" s="10" t="s">
        <v>274</v>
      </c>
      <c r="B10" s="10" t="s">
        <v>36</v>
      </c>
      <c r="C10" s="10" t="s">
        <v>112</v>
      </c>
      <c r="D10" s="10" t="s">
        <v>140</v>
      </c>
      <c r="E10" s="19">
        <f t="shared" si="0"/>
        <v>547</v>
      </c>
      <c r="F10" s="19">
        <f t="shared" si="1"/>
        <v>0</v>
      </c>
      <c r="G10" s="19">
        <f t="shared" si="2"/>
        <v>0</v>
      </c>
      <c r="H10" s="20" t="str">
        <f t="shared" si="3"/>
        <v>On Time</v>
      </c>
      <c r="I10" s="19">
        <v>480</v>
      </c>
    </row>
    <row r="11" spans="1:10" x14ac:dyDescent="0.25">
      <c r="A11" s="12" t="s">
        <v>274</v>
      </c>
      <c r="B11" s="12" t="s">
        <v>38</v>
      </c>
      <c r="C11" s="12" t="s">
        <v>231</v>
      </c>
      <c r="D11" s="12" t="s">
        <v>199</v>
      </c>
      <c r="E11" s="1">
        <f t="shared" si="0"/>
        <v>502.00000000000006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25">
      <c r="A12" s="10" t="s">
        <v>274</v>
      </c>
      <c r="B12" s="10" t="s">
        <v>40</v>
      </c>
      <c r="C12" s="10" t="s">
        <v>92</v>
      </c>
      <c r="D12" s="10" t="s">
        <v>262</v>
      </c>
      <c r="E12" s="19">
        <f t="shared" si="0"/>
        <v>490.99999999999994</v>
      </c>
      <c r="F12" s="19">
        <f t="shared" si="1"/>
        <v>0</v>
      </c>
      <c r="G12" s="19">
        <f t="shared" si="2"/>
        <v>0</v>
      </c>
      <c r="H12" s="20" t="str">
        <f t="shared" si="3"/>
        <v>On Time</v>
      </c>
      <c r="I12" s="19">
        <v>480</v>
      </c>
    </row>
    <row r="13" spans="1:10" x14ac:dyDescent="0.25">
      <c r="A13" s="12" t="s">
        <v>274</v>
      </c>
      <c r="B13" s="12" t="s">
        <v>43</v>
      </c>
      <c r="C13" s="12" t="s">
        <v>95</v>
      </c>
      <c r="D13" s="12" t="s">
        <v>169</v>
      </c>
      <c r="E13" s="1">
        <f t="shared" si="0"/>
        <v>501.00000000000006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25">
      <c r="A14" s="10" t="s">
        <v>274</v>
      </c>
      <c r="B14" s="10" t="s">
        <v>45</v>
      </c>
      <c r="C14" s="10" t="s">
        <v>154</v>
      </c>
      <c r="D14" s="10" t="s">
        <v>80</v>
      </c>
      <c r="E14" s="19">
        <f t="shared" si="0"/>
        <v>486.99999999999994</v>
      </c>
      <c r="F14" s="19">
        <f t="shared" si="1"/>
        <v>0</v>
      </c>
      <c r="G14" s="19">
        <f t="shared" si="2"/>
        <v>0</v>
      </c>
      <c r="H14" s="20" t="str">
        <f t="shared" si="3"/>
        <v>On Time</v>
      </c>
      <c r="I14" s="19">
        <v>480</v>
      </c>
    </row>
    <row r="15" spans="1:10" x14ac:dyDescent="0.25">
      <c r="A15" s="12" t="s">
        <v>274</v>
      </c>
      <c r="B15" s="12" t="s">
        <v>47</v>
      </c>
      <c r="C15" s="12" t="s">
        <v>78</v>
      </c>
      <c r="D15" s="12" t="s">
        <v>169</v>
      </c>
      <c r="E15" s="1">
        <f t="shared" si="0"/>
        <v>488.00000000000011</v>
      </c>
      <c r="F15" s="1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25">
      <c r="A16" s="10" t="s">
        <v>274</v>
      </c>
      <c r="B16" s="10" t="s">
        <v>49</v>
      </c>
      <c r="C16" s="10" t="s">
        <v>64</v>
      </c>
      <c r="D16" s="10" t="s">
        <v>262</v>
      </c>
      <c r="E16" s="19">
        <f t="shared" si="0"/>
        <v>447.99999999999994</v>
      </c>
      <c r="F16" s="19">
        <f t="shared" si="1"/>
        <v>30.999999999999972</v>
      </c>
      <c r="G16" s="19">
        <f t="shared" si="2"/>
        <v>32.000000000000057</v>
      </c>
      <c r="H16" s="20" t="str">
        <f t="shared" si="3"/>
        <v>Late</v>
      </c>
      <c r="I16" s="19">
        <v>480</v>
      </c>
    </row>
    <row r="17" spans="1:9" x14ac:dyDescent="0.25">
      <c r="A17" s="12" t="s">
        <v>274</v>
      </c>
      <c r="B17" s="12" t="s">
        <v>50</v>
      </c>
      <c r="C17" s="12" t="s">
        <v>18</v>
      </c>
      <c r="D17" s="12" t="s">
        <v>148</v>
      </c>
      <c r="E17" s="1">
        <f t="shared" si="0"/>
        <v>448</v>
      </c>
      <c r="F17" s="1">
        <f t="shared" si="1"/>
        <v>17.999999999999936</v>
      </c>
      <c r="G17" s="2">
        <f t="shared" si="2"/>
        <v>32</v>
      </c>
      <c r="H17" s="4" t="str">
        <f t="shared" si="3"/>
        <v>Late</v>
      </c>
      <c r="I17" s="5">
        <v>480</v>
      </c>
    </row>
    <row r="18" spans="1:9" x14ac:dyDescent="0.25">
      <c r="A18" s="10" t="s">
        <v>274</v>
      </c>
      <c r="B18" s="10" t="s">
        <v>52</v>
      </c>
      <c r="C18" s="10" t="s">
        <v>191</v>
      </c>
      <c r="D18" s="10" t="s">
        <v>152</v>
      </c>
      <c r="E18" s="19">
        <f t="shared" si="0"/>
        <v>524</v>
      </c>
      <c r="F18" s="19">
        <f t="shared" si="1"/>
        <v>0</v>
      </c>
      <c r="G18" s="19">
        <f t="shared" si="2"/>
        <v>0</v>
      </c>
      <c r="H18" s="20" t="str">
        <f t="shared" si="3"/>
        <v>Early</v>
      </c>
      <c r="I18" s="19">
        <v>480</v>
      </c>
    </row>
    <row r="19" spans="1:9" x14ac:dyDescent="0.25">
      <c r="A19" s="12" t="s">
        <v>274</v>
      </c>
      <c r="B19" s="12" t="s">
        <v>54</v>
      </c>
      <c r="C19" s="12" t="s">
        <v>29</v>
      </c>
      <c r="D19" s="12" t="s">
        <v>262</v>
      </c>
      <c r="E19" s="1">
        <f t="shared" si="0"/>
        <v>464.99999999999994</v>
      </c>
      <c r="F19" s="1">
        <f t="shared" si="1"/>
        <v>13.99999999999995</v>
      </c>
      <c r="G19" s="2">
        <f t="shared" si="2"/>
        <v>15.000000000000057</v>
      </c>
      <c r="H19" s="4" t="str">
        <f t="shared" si="3"/>
        <v>Late</v>
      </c>
      <c r="I19" s="5">
        <v>480</v>
      </c>
    </row>
    <row r="20" spans="1:9" x14ac:dyDescent="0.25">
      <c r="A20" s="10" t="s">
        <v>274</v>
      </c>
      <c r="B20" s="10" t="s">
        <v>57</v>
      </c>
      <c r="C20" s="10" t="s">
        <v>238</v>
      </c>
      <c r="D20" s="10" t="s">
        <v>263</v>
      </c>
      <c r="E20" s="19">
        <f t="shared" si="0"/>
        <v>522</v>
      </c>
      <c r="F20" s="19">
        <f t="shared" si="1"/>
        <v>25.999999999999986</v>
      </c>
      <c r="G20" s="19">
        <f t="shared" si="2"/>
        <v>0</v>
      </c>
      <c r="H20" s="20" t="str">
        <f t="shared" si="3"/>
        <v>Late</v>
      </c>
      <c r="I20" s="19">
        <v>480</v>
      </c>
    </row>
    <row r="21" spans="1:9" x14ac:dyDescent="0.25">
      <c r="A21" s="12" t="s">
        <v>274</v>
      </c>
      <c r="B21" s="12" t="s">
        <v>60</v>
      </c>
      <c r="C21" s="12" t="s">
        <v>215</v>
      </c>
      <c r="D21" s="12" t="s">
        <v>264</v>
      </c>
      <c r="E21" s="1">
        <f t="shared" si="0"/>
        <v>488</v>
      </c>
      <c r="F21" s="1">
        <f t="shared" si="1"/>
        <v>6.9999999999999751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25">
      <c r="A22" s="10" t="s">
        <v>274</v>
      </c>
      <c r="B22" s="10" t="s">
        <v>63</v>
      </c>
      <c r="C22" s="10" t="s">
        <v>265</v>
      </c>
      <c r="D22" s="10" t="s">
        <v>266</v>
      </c>
      <c r="E22" s="19">
        <f t="shared" si="0"/>
        <v>384</v>
      </c>
      <c r="F22" s="19">
        <f t="shared" si="1"/>
        <v>112</v>
      </c>
      <c r="G22" s="19">
        <f t="shared" si="2"/>
        <v>96</v>
      </c>
      <c r="H22" s="20" t="str">
        <f t="shared" si="3"/>
        <v>Late</v>
      </c>
      <c r="I22" s="19">
        <v>480</v>
      </c>
    </row>
    <row r="23" spans="1:9" x14ac:dyDescent="0.25">
      <c r="A23" s="12" t="s">
        <v>274</v>
      </c>
      <c r="B23" s="12" t="s">
        <v>66</v>
      </c>
      <c r="C23" s="12" t="s">
        <v>78</v>
      </c>
      <c r="D23" s="12" t="s">
        <v>72</v>
      </c>
      <c r="E23" s="1">
        <f t="shared" si="0"/>
        <v>489.00000000000011</v>
      </c>
      <c r="F23" s="1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3"/>
  <dimension ref="A1:J23"/>
  <sheetViews>
    <sheetView tabSelected="1" zoomScale="70" zoomScaleNormal="70" workbookViewId="0">
      <selection activeCell="J2" sqref="J2"/>
    </sheetView>
  </sheetViews>
  <sheetFormatPr defaultRowHeight="15" x14ac:dyDescent="0.25"/>
  <cols>
    <col min="1" max="1" width="24" customWidth="1"/>
    <col min="2" max="2" width="14.7109375" customWidth="1"/>
    <col min="3" max="3" width="15.5703125" customWidth="1"/>
    <col min="4" max="4" width="15.85546875" customWidth="1"/>
    <col min="5" max="5" width="16.28515625" customWidth="1"/>
    <col min="6" max="6" width="16.5703125" customWidth="1"/>
    <col min="7" max="7" width="15.5703125" customWidth="1"/>
    <col min="8" max="8" width="16.42578125" customWidth="1"/>
    <col min="9" max="9" width="10.85546875" customWidth="1"/>
    <col min="10" max="10" width="40.28515625" customWidth="1"/>
  </cols>
  <sheetData>
    <row r="1" spans="1:10" ht="37.5" customHeight="1" x14ac:dyDescent="0.25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8" t="s">
        <v>11</v>
      </c>
      <c r="I1" s="9" t="s">
        <v>12</v>
      </c>
      <c r="J1" s="24" t="s">
        <v>13</v>
      </c>
    </row>
    <row r="2" spans="1:10" x14ac:dyDescent="0.25">
      <c r="A2" s="10" t="s">
        <v>273</v>
      </c>
      <c r="B2" s="40" t="s">
        <v>14</v>
      </c>
      <c r="C2" s="41" t="s">
        <v>46</v>
      </c>
      <c r="D2" s="41" t="s">
        <v>27</v>
      </c>
      <c r="E2" s="10" t="str">
        <f>IF(OR(C2="Absent",D2="Absent",C2="",D2=""),"", (D2-C2)*1440)</f>
        <v/>
      </c>
      <c r="F2" s="19" t="str">
        <f>IF(OR(C2="",C2="Absent"),"",
 MAX(0,(C2 - TIME(8,50,0))*1440))</f>
        <v/>
      </c>
      <c r="G2" s="19" t="e">
        <f>IF(C2="","",
 MAX(0,480 - E2))</f>
        <v>#VALUE!</v>
      </c>
      <c r="H2" s="21" t="str">
        <f t="shared" ref="H2:H3" si="0">IF(OR(TRIM(C2)="Absent", TRIM(C2)="ABSENT"), "Absent",
IF(OR(TRIM(C2)="", TRIM(C2)="-", TRIM(D2)="", TRIM(D2)="-"), "Missing",
IF( IF(ISNUMBER(C2), C2, IFERROR(TIMEVALUE(C2), 0)) &lt; TIME(8,30,0), "Early",
IF( AND(
IF(ISNUMBER(C2), C2, IFERROR(TIMEVALUE(C2), 0)) &gt;= TIME(8,30,0),
IF(ISNUMBER(C2), C2, IFERROR(TIMEVALUE(C2), 0)) &lt;= TIME(8,50,0),
(IF(ISNUMBER(D2), D2, IFERROR(TIMEVALUE(D2), 0)) - IF(ISNUMBER(C2), C2, IFERROR(TIMEVALUE(C2), 0))) &gt;= TIME(8,0,0)
),
"On Time",
"Late"
)
)
)
)</f>
        <v>Absent</v>
      </c>
      <c r="I2" s="10">
        <v>480</v>
      </c>
    </row>
    <row r="3" spans="1:10" x14ac:dyDescent="0.25">
      <c r="A3" s="12" t="s">
        <v>273</v>
      </c>
      <c r="B3" s="3" t="s">
        <v>17</v>
      </c>
      <c r="C3" s="39" t="s">
        <v>113</v>
      </c>
      <c r="D3" s="39" t="s">
        <v>83</v>
      </c>
      <c r="E3" s="12">
        <f t="shared" ref="E3:E23" si="1">IF(OR(C3="Absent",D3="Absent",C3="",D3=""),"", (D3-C3)*1440)</f>
        <v>482.99999999999994</v>
      </c>
      <c r="F3" s="4">
        <f>IF(OR(C3="",C3="Absent"),"",
 MAX(0,(C3 - TIME(8,50,0))*1440))</f>
        <v>0</v>
      </c>
      <c r="G3" s="2">
        <f>IF(C3="","",
 MAX(0,480 - E3))</f>
        <v>0</v>
      </c>
      <c r="H3" s="43" t="str">
        <f t="shared" si="0"/>
        <v>On Time</v>
      </c>
      <c r="I3" s="5">
        <v>480</v>
      </c>
    </row>
    <row r="4" spans="1:10" x14ac:dyDescent="0.25">
      <c r="A4" s="10" t="s">
        <v>273</v>
      </c>
      <c r="B4" s="10" t="s">
        <v>20</v>
      </c>
      <c r="C4" s="41" t="s">
        <v>118</v>
      </c>
      <c r="D4" s="41" t="s">
        <v>178</v>
      </c>
      <c r="E4" s="10">
        <f t="shared" si="1"/>
        <v>538.99999999999989</v>
      </c>
      <c r="F4" s="19">
        <f t="shared" ref="F4:F23" si="2">IF(OR(C4="",C4="Absent"),"",
MAX(0,(C4 - TIME(8,50,0))*1440))</f>
        <v>0</v>
      </c>
      <c r="G4" s="19">
        <f t="shared" ref="G4:G23" si="3">IF(C4="","",
MAX(0,480 - E4))</f>
        <v>0</v>
      </c>
      <c r="H4" s="21" t="str">
        <f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10">
        <v>480</v>
      </c>
    </row>
    <row r="5" spans="1:10" x14ac:dyDescent="0.25">
      <c r="A5" s="12" t="s">
        <v>273</v>
      </c>
      <c r="B5" s="3" t="s">
        <v>22</v>
      </c>
      <c r="C5" s="39" t="s">
        <v>202</v>
      </c>
      <c r="D5" s="39" t="s">
        <v>33</v>
      </c>
      <c r="E5" s="12">
        <f t="shared" si="1"/>
        <v>534.99999999999989</v>
      </c>
      <c r="F5" s="4">
        <f t="shared" si="2"/>
        <v>0</v>
      </c>
      <c r="G5" s="2">
        <f t="shared" si="3"/>
        <v>0</v>
      </c>
      <c r="H5" s="43" t="str">
        <f t="shared" ref="H5:H23" si="4">IF(OR(TRIM(C5)="Absent", TRIM(C5)="ABSENT"), "Absent",
IF(OR(TRIM(C5)="", TRIM(C5)="-", TRIM(D5)="", TRIM(D5)="-"), "Missing",
IF( IF(ISNUMBER(C5), C5, IFERROR(TIMEVALUE(C5), 0)) &lt; TIME(8,30,0), "Early",
IF( AND(
IF(ISNUMBER(C5), C5, IFERROR(TIMEVALUE(C5), 0)) &gt;= TIME(8,30,0),
IF(ISNUMBER(C5), C5, IFERROR(TIMEVALUE(C5), 0)) &lt;= TIME(8,50,0),
(IF(ISNUMBER(D5), D5, IFERROR(TIMEVALUE(D5), 0)) - IF(ISNUMBER(C5), C5, IFERROR(TIMEVALUE(C5), 0))) &gt;= TIME(8,0,0)
),
"On Time",
"Late"
)
)
)
)</f>
        <v>On Time</v>
      </c>
      <c r="I5" s="5">
        <v>480</v>
      </c>
    </row>
    <row r="6" spans="1:10" x14ac:dyDescent="0.25">
      <c r="A6" s="10" t="s">
        <v>273</v>
      </c>
      <c r="B6" s="10" t="s">
        <v>25</v>
      </c>
      <c r="C6" s="41" t="s">
        <v>118</v>
      </c>
      <c r="D6" s="41" t="s">
        <v>128</v>
      </c>
      <c r="E6" s="10">
        <f t="shared" si="1"/>
        <v>548.99999999999989</v>
      </c>
      <c r="F6" s="19">
        <f t="shared" si="2"/>
        <v>0</v>
      </c>
      <c r="G6" s="19">
        <f t="shared" si="3"/>
        <v>0</v>
      </c>
      <c r="H6" s="21" t="str">
        <f t="shared" si="4"/>
        <v>Early</v>
      </c>
      <c r="I6" s="10">
        <v>480</v>
      </c>
    </row>
    <row r="7" spans="1:10" x14ac:dyDescent="0.25">
      <c r="A7" s="12" t="s">
        <v>273</v>
      </c>
      <c r="B7" s="3" t="s">
        <v>28</v>
      </c>
      <c r="C7" s="39" t="s">
        <v>118</v>
      </c>
      <c r="D7" s="39" t="s">
        <v>103</v>
      </c>
      <c r="E7" s="12">
        <f t="shared" si="1"/>
        <v>593.99999999999989</v>
      </c>
      <c r="F7" s="4">
        <f t="shared" si="2"/>
        <v>0</v>
      </c>
      <c r="G7" s="2">
        <f t="shared" si="3"/>
        <v>0</v>
      </c>
      <c r="H7" s="43" t="str">
        <f t="shared" si="4"/>
        <v>Early</v>
      </c>
      <c r="I7" s="5">
        <v>480</v>
      </c>
    </row>
    <row r="8" spans="1:10" x14ac:dyDescent="0.25">
      <c r="A8" s="10" t="s">
        <v>273</v>
      </c>
      <c r="B8" s="10" t="s">
        <v>31</v>
      </c>
      <c r="C8" s="41" t="s">
        <v>231</v>
      </c>
      <c r="D8" s="41" t="s">
        <v>269</v>
      </c>
      <c r="E8" s="10">
        <f t="shared" si="1"/>
        <v>344</v>
      </c>
      <c r="F8" s="19">
        <f t="shared" si="2"/>
        <v>0</v>
      </c>
      <c r="G8" s="19">
        <f t="shared" si="3"/>
        <v>136</v>
      </c>
      <c r="H8" s="21" t="str">
        <f t="shared" si="4"/>
        <v>Late</v>
      </c>
      <c r="I8" s="10">
        <v>480</v>
      </c>
    </row>
    <row r="9" spans="1:10" x14ac:dyDescent="0.25">
      <c r="A9" s="12" t="s">
        <v>273</v>
      </c>
      <c r="B9" s="3" t="s">
        <v>34</v>
      </c>
      <c r="C9" s="39" t="s">
        <v>95</v>
      </c>
      <c r="D9" s="39" t="s">
        <v>125</v>
      </c>
      <c r="E9" s="12">
        <f t="shared" si="1"/>
        <v>544.00000000000011</v>
      </c>
      <c r="F9" s="4">
        <f t="shared" si="2"/>
        <v>0</v>
      </c>
      <c r="G9" s="2">
        <f t="shared" si="3"/>
        <v>0</v>
      </c>
      <c r="H9" s="43" t="str">
        <f t="shared" si="4"/>
        <v>On Time</v>
      </c>
      <c r="I9" s="5">
        <v>480</v>
      </c>
    </row>
    <row r="10" spans="1:10" x14ac:dyDescent="0.25">
      <c r="A10" s="10" t="s">
        <v>273</v>
      </c>
      <c r="B10" s="10" t="s">
        <v>36</v>
      </c>
      <c r="C10" s="41" t="s">
        <v>115</v>
      </c>
      <c r="D10" s="41" t="s">
        <v>91</v>
      </c>
      <c r="E10" s="10">
        <f t="shared" si="1"/>
        <v>497</v>
      </c>
      <c r="F10" s="19">
        <f t="shared" si="2"/>
        <v>0</v>
      </c>
      <c r="G10" s="19">
        <f t="shared" si="3"/>
        <v>0</v>
      </c>
      <c r="H10" s="21" t="str">
        <f t="shared" si="4"/>
        <v>Early</v>
      </c>
      <c r="I10" s="10">
        <v>480</v>
      </c>
    </row>
    <row r="11" spans="1:10" x14ac:dyDescent="0.25">
      <c r="A11" s="12" t="s">
        <v>273</v>
      </c>
      <c r="B11" s="3" t="s">
        <v>38</v>
      </c>
      <c r="C11" s="39" t="s">
        <v>191</v>
      </c>
      <c r="D11" s="39" t="s">
        <v>235</v>
      </c>
      <c r="E11" s="12">
        <f t="shared" si="1"/>
        <v>492.99999999999994</v>
      </c>
      <c r="F11" s="19">
        <f t="shared" si="2"/>
        <v>0</v>
      </c>
      <c r="G11" s="19">
        <f t="shared" si="3"/>
        <v>0</v>
      </c>
      <c r="H11" s="43" t="str">
        <f t="shared" si="4"/>
        <v>Early</v>
      </c>
      <c r="I11" s="5">
        <v>480</v>
      </c>
    </row>
    <row r="12" spans="1:10" x14ac:dyDescent="0.25">
      <c r="A12" s="10" t="s">
        <v>273</v>
      </c>
      <c r="B12" s="10" t="s">
        <v>40</v>
      </c>
      <c r="C12" s="41" t="s">
        <v>176</v>
      </c>
      <c r="D12" s="41" t="s">
        <v>142</v>
      </c>
      <c r="E12" s="10">
        <f t="shared" si="1"/>
        <v>496.99999999999989</v>
      </c>
      <c r="F12" s="4">
        <f t="shared" si="2"/>
        <v>0</v>
      </c>
      <c r="G12" s="2">
        <f t="shared" si="3"/>
        <v>0</v>
      </c>
      <c r="H12" s="21" t="str">
        <f t="shared" si="4"/>
        <v>On Time</v>
      </c>
      <c r="I12" s="10">
        <v>480</v>
      </c>
    </row>
    <row r="13" spans="1:10" x14ac:dyDescent="0.25">
      <c r="A13" s="12" t="s">
        <v>273</v>
      </c>
      <c r="B13" s="3" t="s">
        <v>43</v>
      </c>
      <c r="C13" s="39" t="s">
        <v>195</v>
      </c>
      <c r="D13" s="39" t="s">
        <v>270</v>
      </c>
      <c r="E13" s="12">
        <f t="shared" si="1"/>
        <v>590.00000000000011</v>
      </c>
      <c r="F13" s="19">
        <f t="shared" si="2"/>
        <v>0</v>
      </c>
      <c r="G13" s="19">
        <f t="shared" si="3"/>
        <v>0</v>
      </c>
      <c r="H13" s="43" t="str">
        <f t="shared" si="4"/>
        <v>On Time</v>
      </c>
      <c r="I13" s="5">
        <v>480</v>
      </c>
    </row>
    <row r="14" spans="1:10" x14ac:dyDescent="0.25">
      <c r="A14" s="10" t="s">
        <v>273</v>
      </c>
      <c r="B14" s="10" t="s">
        <v>45</v>
      </c>
      <c r="C14" s="41" t="s">
        <v>30</v>
      </c>
      <c r="D14" s="41" t="s">
        <v>27</v>
      </c>
      <c r="E14" s="10" t="e">
        <f t="shared" si="1"/>
        <v>#VALUE!</v>
      </c>
      <c r="F14" s="4">
        <f t="shared" si="2"/>
        <v>502</v>
      </c>
      <c r="G14" s="2" t="e">
        <f t="shared" si="3"/>
        <v>#VALUE!</v>
      </c>
      <c r="H14" s="21" t="str">
        <f t="shared" si="4"/>
        <v>Missing</v>
      </c>
      <c r="I14" s="10">
        <v>480</v>
      </c>
    </row>
    <row r="15" spans="1:10" x14ac:dyDescent="0.25">
      <c r="A15" s="12" t="s">
        <v>273</v>
      </c>
      <c r="B15" s="3" t="s">
        <v>47</v>
      </c>
      <c r="C15" s="39" t="s">
        <v>150</v>
      </c>
      <c r="D15" s="39" t="s">
        <v>101</v>
      </c>
      <c r="E15" s="12">
        <f t="shared" si="1"/>
        <v>554</v>
      </c>
      <c r="F15" s="19">
        <f t="shared" si="2"/>
        <v>0</v>
      </c>
      <c r="G15" s="19">
        <f t="shared" si="3"/>
        <v>0</v>
      </c>
      <c r="H15" s="43" t="str">
        <f t="shared" si="4"/>
        <v>On Time</v>
      </c>
      <c r="I15" s="5">
        <v>480</v>
      </c>
    </row>
    <row r="16" spans="1:10" x14ac:dyDescent="0.25">
      <c r="A16" s="10" t="s">
        <v>273</v>
      </c>
      <c r="B16" s="10" t="s">
        <v>49</v>
      </c>
      <c r="C16" s="41" t="s">
        <v>94</v>
      </c>
      <c r="D16" s="41" t="s">
        <v>147</v>
      </c>
      <c r="E16" s="10">
        <f t="shared" si="1"/>
        <v>569</v>
      </c>
      <c r="F16" s="4">
        <f t="shared" si="2"/>
        <v>0</v>
      </c>
      <c r="G16" s="2">
        <f t="shared" si="3"/>
        <v>0</v>
      </c>
      <c r="H16" s="21" t="str">
        <f t="shared" si="4"/>
        <v>On Time</v>
      </c>
      <c r="I16" s="10">
        <v>480</v>
      </c>
    </row>
    <row r="17" spans="1:9" x14ac:dyDescent="0.25">
      <c r="A17" s="12" t="s">
        <v>273</v>
      </c>
      <c r="B17" s="3" t="s">
        <v>50</v>
      </c>
      <c r="C17" s="39" t="s">
        <v>121</v>
      </c>
      <c r="D17" s="39" t="s">
        <v>271</v>
      </c>
      <c r="E17" s="12">
        <f t="shared" si="1"/>
        <v>577</v>
      </c>
      <c r="F17" s="19">
        <f t="shared" si="2"/>
        <v>0</v>
      </c>
      <c r="G17" s="19">
        <f t="shared" si="3"/>
        <v>0</v>
      </c>
      <c r="H17" s="43" t="str">
        <f t="shared" si="4"/>
        <v>On Time</v>
      </c>
      <c r="I17" s="5">
        <v>480</v>
      </c>
    </row>
    <row r="18" spans="1:9" x14ac:dyDescent="0.25">
      <c r="A18" s="10" t="s">
        <v>273</v>
      </c>
      <c r="B18" s="10" t="s">
        <v>52</v>
      </c>
      <c r="C18" s="41" t="s">
        <v>93</v>
      </c>
      <c r="D18" s="41" t="s">
        <v>93</v>
      </c>
      <c r="E18" s="10">
        <f t="shared" si="1"/>
        <v>0</v>
      </c>
      <c r="F18" s="4">
        <f t="shared" si="2"/>
        <v>469.99999999999994</v>
      </c>
      <c r="G18" s="2">
        <f t="shared" si="3"/>
        <v>480</v>
      </c>
      <c r="H18" s="21" t="str">
        <f t="shared" si="4"/>
        <v>Late</v>
      </c>
      <c r="I18" s="10">
        <v>480</v>
      </c>
    </row>
    <row r="19" spans="1:9" x14ac:dyDescent="0.25">
      <c r="A19" s="12" t="s">
        <v>273</v>
      </c>
      <c r="B19" s="3" t="s">
        <v>54</v>
      </c>
      <c r="C19" s="39" t="s">
        <v>95</v>
      </c>
      <c r="D19" s="39" t="s">
        <v>153</v>
      </c>
      <c r="E19" s="12">
        <f t="shared" si="1"/>
        <v>447.99999999999994</v>
      </c>
      <c r="F19" s="19">
        <f t="shared" si="2"/>
        <v>0</v>
      </c>
      <c r="G19" s="19">
        <f t="shared" si="3"/>
        <v>32.000000000000057</v>
      </c>
      <c r="H19" s="43" t="str">
        <f t="shared" si="4"/>
        <v>Late</v>
      </c>
      <c r="I19" s="5">
        <v>480</v>
      </c>
    </row>
    <row r="20" spans="1:9" x14ac:dyDescent="0.25">
      <c r="A20" s="10" t="s">
        <v>273</v>
      </c>
      <c r="B20" s="10" t="s">
        <v>57</v>
      </c>
      <c r="C20" s="41" t="s">
        <v>198</v>
      </c>
      <c r="D20" s="41" t="s">
        <v>272</v>
      </c>
      <c r="E20" s="10">
        <f t="shared" si="1"/>
        <v>562</v>
      </c>
      <c r="F20" s="4">
        <f t="shared" si="2"/>
        <v>0</v>
      </c>
      <c r="G20" s="2">
        <f t="shared" si="3"/>
        <v>0</v>
      </c>
      <c r="H20" s="21" t="str">
        <f t="shared" si="4"/>
        <v>On Time</v>
      </c>
      <c r="I20" s="10">
        <v>480</v>
      </c>
    </row>
    <row r="21" spans="1:9" x14ac:dyDescent="0.25">
      <c r="A21" s="12" t="s">
        <v>273</v>
      </c>
      <c r="B21" s="3" t="s">
        <v>60</v>
      </c>
      <c r="C21" s="39" t="s">
        <v>121</v>
      </c>
      <c r="D21" s="39" t="s">
        <v>133</v>
      </c>
      <c r="E21" s="12">
        <f t="shared" si="1"/>
        <v>547</v>
      </c>
      <c r="F21" s="19">
        <f t="shared" si="2"/>
        <v>0</v>
      </c>
      <c r="G21" s="19">
        <f t="shared" si="3"/>
        <v>0</v>
      </c>
      <c r="H21" s="43" t="str">
        <f t="shared" si="4"/>
        <v>On Time</v>
      </c>
      <c r="I21" s="5">
        <v>480</v>
      </c>
    </row>
    <row r="22" spans="1:9" x14ac:dyDescent="0.25">
      <c r="A22" s="10" t="s">
        <v>273</v>
      </c>
      <c r="B22" s="10" t="s">
        <v>63</v>
      </c>
      <c r="C22" s="41" t="s">
        <v>92</v>
      </c>
      <c r="D22" s="41" t="s">
        <v>161</v>
      </c>
      <c r="E22" s="10">
        <f t="shared" si="1"/>
        <v>556</v>
      </c>
      <c r="F22" s="19">
        <f t="shared" si="2"/>
        <v>0</v>
      </c>
      <c r="G22" s="19">
        <f t="shared" si="3"/>
        <v>0</v>
      </c>
      <c r="H22" s="21" t="str">
        <f t="shared" si="4"/>
        <v>On Time</v>
      </c>
      <c r="I22" s="10">
        <v>480</v>
      </c>
    </row>
    <row r="23" spans="1:9" x14ac:dyDescent="0.25">
      <c r="A23" s="12" t="s">
        <v>273</v>
      </c>
      <c r="B23" s="3" t="s">
        <v>66</v>
      </c>
      <c r="C23" s="39" t="s">
        <v>154</v>
      </c>
      <c r="D23" s="39" t="s">
        <v>270</v>
      </c>
      <c r="E23" s="12">
        <f t="shared" si="1"/>
        <v>584.00000000000011</v>
      </c>
      <c r="F23" s="4">
        <f t="shared" si="2"/>
        <v>0</v>
      </c>
      <c r="G23" s="2">
        <f t="shared" si="3"/>
        <v>0</v>
      </c>
      <c r="H23" s="43" t="str">
        <f t="shared" si="4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24"/>
  <sheetViews>
    <sheetView workbookViewId="0">
      <selection activeCell="E8" sqref="E8"/>
    </sheetView>
  </sheetViews>
  <sheetFormatPr defaultRowHeight="15" x14ac:dyDescent="0.25"/>
  <cols>
    <col min="1" max="1" width="35.28515625" customWidth="1"/>
    <col min="2" max="2" width="18.140625" customWidth="1"/>
    <col min="3" max="3" width="14" customWidth="1"/>
    <col min="4" max="4" width="20.5703125" customWidth="1"/>
    <col min="5" max="5" width="14.85546875" customWidth="1"/>
  </cols>
  <sheetData>
    <row r="1" spans="1:5" ht="31.5" customHeight="1" thickBot="1" x14ac:dyDescent="0.3">
      <c r="A1" s="33" t="s">
        <v>0</v>
      </c>
      <c r="B1" s="29" t="s">
        <v>267</v>
      </c>
      <c r="C1" s="31" t="s">
        <v>1</v>
      </c>
      <c r="D1" s="31" t="s">
        <v>2</v>
      </c>
      <c r="E1" s="30" t="s">
        <v>3</v>
      </c>
    </row>
    <row r="2" spans="1:5" x14ac:dyDescent="0.25">
      <c r="A2" s="10" t="s">
        <v>273</v>
      </c>
      <c r="B2" s="35" t="e">
        <f>COUNTIF(#REF!,"Late")</f>
        <v>#REF!</v>
      </c>
      <c r="C2" s="42" t="e">
        <f>SUM(#REF!)/COUNTIF(#REF!,"&lt;&gt;")</f>
        <v>#REF!</v>
      </c>
      <c r="D2" s="42">
        <f ca="1">SUMIF(INDIRECT("'"&amp;A2&amp;"'!G:G"), "&gt;0") / (COUNTA(INDIRECT("'"&amp;A2&amp;"'!A:A"))-1)</f>
        <v>29.454545454545453</v>
      </c>
      <c r="E2" s="37">
        <f>IFERROR(
COUNTIFS(#REF!,"&lt;&gt;Absent",#REF!,
         "&lt;&gt;")
/
COUNTIF(#REF!,"&lt;&gt;"),
0)</f>
        <v>0</v>
      </c>
    </row>
    <row r="3" spans="1:5" x14ac:dyDescent="0.25">
      <c r="A3" s="48" t="s">
        <v>274</v>
      </c>
      <c r="B3" s="36">
        <f>COUNTIF('Sheet 21'!H2:H497,"Late")</f>
        <v>19</v>
      </c>
      <c r="C3" s="36">
        <f>SUM('Sheet 21'!F:F)/COUNTIF('Sheet 21'!H:H,"&lt;&gt;")</f>
        <v>23.478260869565183</v>
      </c>
      <c r="D3" s="36">
        <f t="shared" ref="D3:D23" ca="1" si="0">SUMIF(INDIRECT("'"&amp;A3&amp;"'!G:G"), "&gt;0") / (COUNTA(INDIRECT("'"&amp;A3&amp;"'!A:A"))-1)</f>
        <v>8.9545454545454621</v>
      </c>
      <c r="E3" s="32">
        <f>IFERROR(COUNTIFS('Sheet 21'!H2:H497,"&lt;&gt;Absent",'Sheet 21'!H2:H497,"&lt;&gt;")/COUNTIF('Sheet 21'!H2:H497,"&lt;&gt;"),0)</f>
        <v>0.95454545454545459</v>
      </c>
    </row>
    <row r="4" spans="1:5" x14ac:dyDescent="0.25">
      <c r="A4" s="10" t="s">
        <v>275</v>
      </c>
      <c r="B4" s="35">
        <f>COUNTIF('Sheet 20'!H2:H494,"Late")</f>
        <v>13</v>
      </c>
      <c r="C4" s="35">
        <f>SUM('Sheet 20'!F:F)/COUNTIF('Sheet 20'!H:H,"&lt;&gt;")</f>
        <v>0.95652173913043137</v>
      </c>
      <c r="D4" s="42">
        <f t="shared" ca="1" si="0"/>
        <v>23.181818181818183</v>
      </c>
      <c r="E4" s="38">
        <f>IFERROR(COUNTIFS('Sheet 20'!H2:H494,"&lt;&gt;Absent",'Sheet 20'!H2:H494,"&lt;&gt;")/COUNTIF('Sheet 20'!H2:H494,"&lt;&gt;"),0)</f>
        <v>1</v>
      </c>
    </row>
    <row r="5" spans="1:5" x14ac:dyDescent="0.25">
      <c r="A5" s="48" t="s">
        <v>276</v>
      </c>
      <c r="B5" s="36">
        <f>COUNTIF('Sheet 19'!H2:H496,"Late")</f>
        <v>21</v>
      </c>
      <c r="C5" s="36">
        <f>SUM('Sheet 19'!F:F)/COUNTIF('Sheet 19'!H:H,"&lt;&gt;")</f>
        <v>34.043478260869527</v>
      </c>
      <c r="D5" s="36">
        <f t="shared" ca="1" si="0"/>
        <v>23.181818181818183</v>
      </c>
      <c r="E5" s="32">
        <f>IFERROR(COUNTIFS('Sheet 19'!H2:H496,"&lt;&gt;Absent",'Sheet 19'!H2:H496,"&lt;&gt;")/COUNTIF('Sheet 19'!H2:H496,"&lt;&gt;"),0)</f>
        <v>1</v>
      </c>
    </row>
    <row r="6" spans="1:5" x14ac:dyDescent="0.25">
      <c r="A6" s="10" t="s">
        <v>277</v>
      </c>
      <c r="B6" s="35">
        <f>COUNTIF('Sheet 18'!H2:H497,"Late")</f>
        <v>4</v>
      </c>
      <c r="C6" s="35">
        <f>SUM('Sheet 18'!F:F)/COUNTIF('Sheet 18'!H:H,"&lt;&gt;")</f>
        <v>0.52173913043478071</v>
      </c>
      <c r="D6" s="42">
        <f t="shared" ca="1" si="0"/>
        <v>0.31818181818181562</v>
      </c>
      <c r="E6" s="38">
        <f>IFERROR(COUNTIFS('Sheet 18'!H2:H497,"&lt;&gt;Absent",'Sheet 18'!H2:H497,"&lt;&gt;")/COUNTIF('Sheet 18'!H2:H497,"&lt;&gt;"),0)</f>
        <v>0.68181818181818177</v>
      </c>
    </row>
    <row r="7" spans="1:5" x14ac:dyDescent="0.25">
      <c r="A7" s="48" t="s">
        <v>278</v>
      </c>
      <c r="B7" s="36">
        <f>COUNTIF('Sheet 17'!H2:H496,"Late")</f>
        <v>1</v>
      </c>
      <c r="C7" s="36">
        <f>SUM('Sheet 17'!F:F)/COUNTIF('Sheet 17'!H:H,"&lt;&gt;")</f>
        <v>0</v>
      </c>
      <c r="D7" s="36">
        <f t="shared" ca="1" si="0"/>
        <v>26.454545454545453</v>
      </c>
      <c r="E7" s="32">
        <f>IFERROR(COUNTIFS('Sheet 17'!H2:H496,"&lt;&gt;Absent",'Sheet 17'!H2:H496,"&lt;&gt;")/COUNTIF('Sheet 17'!H2:H496,"&lt;&gt;"),0)</f>
        <v>1</v>
      </c>
    </row>
    <row r="8" spans="1:5" x14ac:dyDescent="0.25">
      <c r="A8" s="10" t="s">
        <v>279</v>
      </c>
      <c r="B8" s="35">
        <f>COUNTIF('Sheet 16'!H2:H496,"Late")</f>
        <v>7</v>
      </c>
      <c r="C8" s="35">
        <f>SUM('Sheet 16'!F:F)/COUNTIF('Sheet 16'!H:H,"&lt;&gt;")</f>
        <v>2.0434782608695583</v>
      </c>
      <c r="D8" s="42">
        <f t="shared" ca="1" si="0"/>
        <v>0.86363636363636109</v>
      </c>
      <c r="E8" s="38">
        <f>IFERROR(COUNTIFS('Sheet 16'!H2:H496,"&lt;&gt;Absent",'Sheet 16'!H2:H496,"&lt;&gt;")/COUNTIF('Sheet 16'!H2:H496,"&lt;&gt;"),0)</f>
        <v>0.86363636363636365</v>
      </c>
    </row>
    <row r="9" spans="1:5" x14ac:dyDescent="0.25">
      <c r="A9" s="48" t="s">
        <v>280</v>
      </c>
      <c r="B9" s="36">
        <f>COUNTIF('Sheet 15'!H2:H496,"Late")</f>
        <v>21</v>
      </c>
      <c r="C9" s="36">
        <f>SUM('Sheet 15'!F:F)/COUNTIF('Sheet 15'!H:H,"&lt;&gt;")</f>
        <v>18.869565217391266</v>
      </c>
      <c r="D9" s="36">
        <f t="shared" ca="1" si="0"/>
        <v>1.8636363636363611</v>
      </c>
      <c r="E9" s="32">
        <f>IFERROR(COUNTIFS('Sheet 15'!H2:H496,"&lt;&gt;Absent",'Sheet 15'!H2:H496,"&lt;&gt;")/COUNTIF('Sheet 15'!H2:H496,"&lt;&gt;"),0)</f>
        <v>0.95454545454545459</v>
      </c>
    </row>
    <row r="10" spans="1:5" x14ac:dyDescent="0.25">
      <c r="A10" s="10" t="s">
        <v>281</v>
      </c>
      <c r="B10" s="35">
        <f>COUNTIF('Sheet 14'!H2:H497,"Late")</f>
        <v>0</v>
      </c>
      <c r="C10" s="35">
        <f>SUM('Sheet 14'!F:F)/COUNTIF('Sheet 14'!H:H,"&lt;&gt;")</f>
        <v>0</v>
      </c>
      <c r="D10" s="42">
        <f t="shared" ca="1" si="0"/>
        <v>22.04545454545455</v>
      </c>
      <c r="E10" s="37">
        <f>IFERROR(COUNTIFS('Sheet 14'!H2:H497,"&lt;&gt;Absent",'Sheet 14'!H2:H497,"&lt;&gt;")/COUNTIF('Sheet 14'!H2:H497,"&lt;&gt;"),0)</f>
        <v>0.54545454545454541</v>
      </c>
    </row>
    <row r="11" spans="1:5" x14ac:dyDescent="0.25">
      <c r="A11" s="48" t="s">
        <v>282</v>
      </c>
      <c r="B11" s="36">
        <f>COUNTIF('Sheet 13'!H2:H497,"Late")</f>
        <v>0</v>
      </c>
      <c r="C11" s="36">
        <f>SUM('Sheet 13'!F:F)/COUNTIF('Sheet 13'!H:H,"&lt;&gt;")</f>
        <v>0</v>
      </c>
      <c r="D11" s="36">
        <f t="shared" ca="1" si="0"/>
        <v>77.681818181818187</v>
      </c>
      <c r="E11" s="32">
        <f>IFERROR(COUNTIFS('Sheet 13'!H2:H497,"&lt;&gt;Absent",'Sheet 13'!H2:H497,"&lt;&gt;")/COUNTIF('Sheet 13'!H2:H497,"&lt;&gt;"),0)</f>
        <v>1</v>
      </c>
    </row>
    <row r="12" spans="1:5" x14ac:dyDescent="0.25">
      <c r="A12" s="10" t="s">
        <v>283</v>
      </c>
      <c r="B12" s="35">
        <f>COUNTIF('Sheet 12'!H2:H496,"Late")</f>
        <v>1</v>
      </c>
      <c r="C12" s="35">
        <f>SUM('Sheet 12'!F:F)/COUNTIF('Sheet 12'!H:H,"&lt;&gt;")</f>
        <v>0</v>
      </c>
      <c r="D12" s="42">
        <f t="shared" ca="1" si="0"/>
        <v>1.7727272727272572</v>
      </c>
      <c r="E12" s="37">
        <f>IFERROR(COUNTIFS('Sheet 12'!H2:H496,"&lt;&gt;Absent",'Sheet 12'!H2:H496,"&lt;&gt;")/COUNTIF('Sheet 12'!H2:H496,"&lt;&gt;"),0)</f>
        <v>1</v>
      </c>
    </row>
    <row r="13" spans="1:5" x14ac:dyDescent="0.25">
      <c r="A13" s="48" t="s">
        <v>284</v>
      </c>
      <c r="B13" s="36">
        <f>COUNTIF('Sheet 11'!H2:H497,"Late")</f>
        <v>22</v>
      </c>
      <c r="C13" s="36">
        <f>SUM('Sheet 11'!F:F)/COUNTIF('Sheet 11'!H:H,"&lt;&gt;")</f>
        <v>10.695652173913006</v>
      </c>
      <c r="D13" s="36">
        <f ca="1">SUMIF(INDIRECT("'"&amp;A13&amp;"'!G:G"), "&gt;0") / (COUNTA(INDIRECT("'"&amp;A13&amp;"'!A:A"))-1)</f>
        <v>4.1363636363636314</v>
      </c>
      <c r="E13" s="32">
        <f>IFERROR(COUNTIFS('Sheet 11'!H2:H497,"&lt;&gt;Absent",'Sheet 11'!H2:H497,"&lt;&gt;")/COUNTIF('Sheet 11'!H2:H497,"&lt;&gt;"),0)</f>
        <v>1</v>
      </c>
    </row>
    <row r="14" spans="1:5" x14ac:dyDescent="0.25">
      <c r="A14" s="10" t="s">
        <v>285</v>
      </c>
      <c r="B14" s="35">
        <f>COUNTIF('Sheet 10'!H2:H496,"Late")</f>
        <v>19</v>
      </c>
      <c r="C14" s="35">
        <f>SUM('Sheet 10'!F:F)/COUNTIF('Sheet 10'!H:H,"&lt;&gt;")</f>
        <v>68.956521739130409</v>
      </c>
      <c r="D14" s="42">
        <f t="shared" ca="1" si="0"/>
        <v>0</v>
      </c>
      <c r="E14" s="37">
        <f>IFERROR(COUNTIFS('Sheet 10'!H2:H496,"&lt;&gt;Absent",'Sheet 10'!H2:H496,"&lt;&gt;")/COUNTIF('Sheet 10'!H2:H496,"&lt;&gt;"),0)</f>
        <v>0.86363636363636365</v>
      </c>
    </row>
    <row r="15" spans="1:5" x14ac:dyDescent="0.25">
      <c r="A15" s="48" t="s">
        <v>286</v>
      </c>
      <c r="B15" s="36">
        <f>COUNTIF('Sheet 9'!H2:H496,"Late")</f>
        <v>0</v>
      </c>
      <c r="C15" s="36">
        <f>SUM('Sheet 9'!F:F)/COUNTIF('Sheet 9'!H:H,"&lt;&gt;")</f>
        <v>0</v>
      </c>
      <c r="D15" s="36">
        <f t="shared" ca="1" si="0"/>
        <v>0</v>
      </c>
      <c r="E15" s="32">
        <f>IFERROR(COUNTIFS('Sheet 9'!H2:H496,"&lt;&gt;Absent",'Sheet 9'!H2:H496,"&lt;&gt;")/COUNTIF('Sheet 9'!H2:H496,"&lt;&gt;"),0)</f>
        <v>0.72727272727272729</v>
      </c>
    </row>
    <row r="16" spans="1:5" x14ac:dyDescent="0.25">
      <c r="A16" s="10" t="s">
        <v>287</v>
      </c>
      <c r="B16" s="35">
        <f>COUNTIF('Sheet 8'!H2:H495,"Late")</f>
        <v>1</v>
      </c>
      <c r="C16" s="35">
        <f>SUM('Sheet 8'!F:F)/COUNTIF('Sheet 8'!H:H,"&lt;&gt;")</f>
        <v>4.6521739130434758</v>
      </c>
      <c r="D16" s="42">
        <f t="shared" ca="1" si="0"/>
        <v>54.227272727272727</v>
      </c>
      <c r="E16" s="37">
        <f>IFERROR(COUNTIFS('Sheet 8'!H2:H495,"&lt;&gt;Absent",'Sheet 8'!H2:H495,"&lt;&gt;")/COUNTIF('Sheet 8'!H2:H495,"&lt;&gt;"),0)</f>
        <v>0.77272727272727271</v>
      </c>
    </row>
    <row r="17" spans="1:5" x14ac:dyDescent="0.25">
      <c r="A17" s="48" t="s">
        <v>288</v>
      </c>
      <c r="B17" s="36">
        <f>COUNTIF('Sheet 7'!H2:H497,"Late")</f>
        <v>3</v>
      </c>
      <c r="C17" s="36">
        <f>SUM('Sheet 7'!F:F)/COUNTIF('Sheet 7'!H:H,"&lt;&gt;")</f>
        <v>4.4782608695652151</v>
      </c>
      <c r="D17" s="36">
        <f t="shared" ca="1" si="0"/>
        <v>24.04545454545455</v>
      </c>
      <c r="E17" s="32">
        <f>IFERROR(COUNTIFS('Sheet 7'!H2:H497,"&lt;&gt;Absent",'Sheet 7'!H2:H497,"&lt;&gt;")/COUNTIF('Sheet 7'!H2:H497,"&lt;&gt;"),0)</f>
        <v>1</v>
      </c>
    </row>
    <row r="18" spans="1:5" x14ac:dyDescent="0.25">
      <c r="A18" s="10" t="s">
        <v>289</v>
      </c>
      <c r="B18" s="35">
        <f>COUNTIF('Sheet 6'!H2:H496,"Late")</f>
        <v>14</v>
      </c>
      <c r="C18" s="35">
        <f>SUM('Sheet 6'!F:F)/COUNTIF('Sheet 6'!H:H,"&lt;&gt;")</f>
        <v>27.391304347826068</v>
      </c>
      <c r="D18" s="42">
        <f t="shared" ca="1" si="0"/>
        <v>43.636363636363633</v>
      </c>
      <c r="E18" s="37">
        <f>IFERROR(COUNTIFS('Sheet 6'!H2:H496,"&lt;&gt;Absent",'Sheet 6'!H2:H496,"&lt;&gt;")/COUNTIF('Sheet 6'!H2:H496,"&lt;&gt;"),0)</f>
        <v>0.63636363636363635</v>
      </c>
    </row>
    <row r="19" spans="1:5" x14ac:dyDescent="0.25">
      <c r="A19" s="48" t="s">
        <v>290</v>
      </c>
      <c r="B19" s="36">
        <f>COUNTIF('Sheet 5'!H2:H496,"Late")</f>
        <v>1</v>
      </c>
      <c r="C19" s="36">
        <f>SUM('Sheet 5'!F:F)/COUNTIF('Sheet 5'!H:H,"&lt;&gt;")</f>
        <v>0.52173913043478071</v>
      </c>
      <c r="D19" s="36">
        <f t="shared" ca="1" si="0"/>
        <v>11.272727272727272</v>
      </c>
      <c r="E19" s="32">
        <f>IFERROR(COUNTIFS('Sheet 5'!H2:H496,"&lt;&gt;Absent",'Sheet 5'!H2:H496,"&lt;&gt;")/COUNTIF('Sheet 5'!H2:H496,"&lt;&gt;"),0)</f>
        <v>0.95454545454545459</v>
      </c>
    </row>
    <row r="20" spans="1:5" x14ac:dyDescent="0.25">
      <c r="A20" s="10" t="s">
        <v>291</v>
      </c>
      <c r="B20" s="35">
        <f>COUNTIF('Sheet 4'!H2:H497,"Late")</f>
        <v>10</v>
      </c>
      <c r="C20" s="35">
        <f>SUM('Sheet 4'!F:F)/COUNTIF('Sheet 4'!H:H,"&lt;&gt;")</f>
        <v>16.869565217391276</v>
      </c>
      <c r="D20" s="42">
        <f t="shared" ca="1" si="0"/>
        <v>29.40909090909091</v>
      </c>
      <c r="E20" s="37">
        <f>IFERROR(COUNTIFS('Sheet 4'!H2:H497,"&lt;&gt;Absent",'Sheet 4'!H2:H497,"&lt;&gt;")/COUNTIF('Sheet 4'!H2:H497,"&lt;&gt;"),0)</f>
        <v>0.68181818181818177</v>
      </c>
    </row>
    <row r="21" spans="1:5" x14ac:dyDescent="0.25">
      <c r="A21" s="48" t="s">
        <v>292</v>
      </c>
      <c r="B21" s="36">
        <f>COUNTIF('Sheet 3'!H2:H497,"Late")</f>
        <v>10</v>
      </c>
      <c r="C21" s="36">
        <f>SUM('Sheet 3'!F:F)/COUNTIF('Sheet 3'!H:H,"&lt;&gt;")</f>
        <v>16.869565217391276</v>
      </c>
      <c r="D21" s="36">
        <f t="shared" ca="1" si="0"/>
        <v>28.272727272727273</v>
      </c>
      <c r="E21" s="32">
        <f>IFERROR(COUNTIFS('Sheet 3'!H2:H497,"&lt;&gt;Absent",'Sheet 3'!H2:H497,"&lt;&gt;")/COUNTIF('Sheet 3'!H2:H497,"&lt;&gt;"),0)</f>
        <v>0.68181818181818177</v>
      </c>
    </row>
    <row r="22" spans="1:5" x14ac:dyDescent="0.25">
      <c r="A22" s="10" t="s">
        <v>293</v>
      </c>
      <c r="B22" s="35">
        <f>COUNTIF('Sheet 2'!H2:H497,"Late")</f>
        <v>8</v>
      </c>
      <c r="C22" s="35">
        <f>SUM('Sheet 2'!F:F)/COUNTIF('Sheet 2'!H:H,"&lt;&gt;")</f>
        <v>53.260869565217391</v>
      </c>
      <c r="D22" s="42">
        <f t="shared" ca="1" si="0"/>
        <v>22.954545454545453</v>
      </c>
      <c r="E22" s="37">
        <f>IFERROR(COUNTIFS('Sheet 2'!H2:H497,"&lt;&gt;Absent",'Sheet 2'!H2:H497,"&lt;&gt;")/COUNTIF('Sheet 2'!H2:H497,"&lt;&gt;"),0)</f>
        <v>1</v>
      </c>
    </row>
    <row r="23" spans="1:5" ht="15.75" thickBot="1" x14ac:dyDescent="0.3">
      <c r="A23" s="48" t="s">
        <v>294</v>
      </c>
      <c r="B23" s="36">
        <f>COUNTIF('Sheet 1'!H2:H497,"Late")</f>
        <v>3</v>
      </c>
      <c r="C23" s="36">
        <f>SUM('Sheet 1'!F:F)/COUNTIF('Sheet 1'!H:H,"&lt;&gt;")</f>
        <v>42.260869565217391</v>
      </c>
      <c r="D23" s="36">
        <f t="shared" ca="1" si="0"/>
        <v>22.954545454545453</v>
      </c>
      <c r="E23" s="32">
        <f>IFERROR(COUNTIFS('Sheet 1'!H2:H497,"&lt;&gt;Absent",'Sheet 1'!H2:H497,"&lt;&gt;")/COUNTIF('Sheet 1'!H2:H497,"&lt;&gt;"),0)</f>
        <v>0.95454545454545459</v>
      </c>
    </row>
    <row r="24" spans="1:5" ht="43.5" customHeight="1" thickBot="1" x14ac:dyDescent="0.3">
      <c r="A24" s="34" t="s">
        <v>268</v>
      </c>
      <c r="B24" s="45">
        <f>AVERAGE(E2:E23)</f>
        <v>0.83057851239669422</v>
      </c>
      <c r="C24" s="46"/>
      <c r="D24" s="46"/>
      <c r="E24" s="47"/>
    </row>
  </sheetData>
  <mergeCells count="1">
    <mergeCell ref="B24:E2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 22</vt:lpstr>
      <vt:lpstr>Sheet 21</vt:lpstr>
      <vt:lpstr>Sheet 20</vt:lpstr>
      <vt:lpstr>Sheet 19</vt:lpstr>
      <vt:lpstr>Sheet 18</vt:lpstr>
      <vt:lpstr>Sheet 17</vt:lpstr>
      <vt:lpstr>Sheet 16</vt:lpstr>
      <vt:lpstr>Sheet 15</vt:lpstr>
      <vt:lpstr>Sheet 14</vt:lpstr>
      <vt:lpstr>Sheet 13</vt:lpstr>
      <vt:lpstr>Sheet 12</vt:lpstr>
      <vt:lpstr>Sheet 11</vt:lpstr>
      <vt:lpstr>Sheet 10</vt:lpstr>
      <vt:lpstr>Sheet 9</vt:lpstr>
      <vt:lpstr>Sheet 8</vt:lpstr>
      <vt:lpstr>Sheet 7</vt:lpstr>
      <vt:lpstr>Sheet 6</vt:lpstr>
      <vt:lpstr>Sheet 5</vt:lpstr>
      <vt:lpstr>Sheet 4</vt:lpstr>
      <vt:lpstr>Sheet 3</vt:lpstr>
      <vt:lpstr>Sheet 2</vt:lpstr>
      <vt:lpstr>Sheet 1</vt:lpstr>
      <vt:lpstr>Consolidated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PPMC</dc:creator>
  <cp:lastModifiedBy>Human-In-The-Loop</cp:lastModifiedBy>
  <cp:lastPrinted>2026-01-16T08:48:23Z</cp:lastPrinted>
  <dcterms:created xsi:type="dcterms:W3CDTF">2015-06-05T18:17:20Z</dcterms:created>
  <dcterms:modified xsi:type="dcterms:W3CDTF">2026-02-12T10:09:02Z</dcterms:modified>
</cp:coreProperties>
</file>